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f6242d7128fa190e/Documents/SQL Server Management Studio/Blinkit Project/"/>
    </mc:Choice>
  </mc:AlternateContent>
  <xr:revisionPtr revIDLastSave="1770" documentId="8_{889EC151-C265-4488-84A2-0951C5C3D381}" xr6:coauthVersionLast="47" xr6:coauthVersionMax="47" xr10:uidLastSave="{5D3CCD4F-05BA-46DD-9BF6-19BC54B08EB7}"/>
  <bookViews>
    <workbookView xWindow="-120" yWindow="-120" windowWidth="20730" windowHeight="11040" tabRatio="887" xr2:uid="{346724B3-1C49-40AE-AA36-C77CF5D6DD09}"/>
  </bookViews>
  <sheets>
    <sheet name="Dashboard" sheetId="23" r:id="rId1"/>
    <sheet name="Data" sheetId="1" r:id="rId2"/>
    <sheet name="Cal" sheetId="6" r:id="rId3"/>
    <sheet name="map" sheetId="14" r:id="rId4"/>
    <sheet name="Column" sheetId="13" r:id="rId5"/>
    <sheet name="Sheet4" sheetId="22" r:id="rId6"/>
    <sheet name="Questions &amp; KPIs" sheetId="2" r:id="rId7"/>
  </sheets>
  <definedNames>
    <definedName name="_xlchart.v5.0" hidden="1">map!$F$3:$G$3</definedName>
    <definedName name="_xlchart.v5.1" hidden="1">map!$F$4:$G$61</definedName>
    <definedName name="_xlchart.v5.2" hidden="1">map!$H$3</definedName>
    <definedName name="_xlchart.v5.3" hidden="1">map!$H$4:$H$61</definedName>
    <definedName name="_xlcn.WorksheetConnection_Projectecommence.xlsxorders1" hidden="1">orders[]</definedName>
    <definedName name="Slicer_Gender_Value">#N/A</definedName>
    <definedName name="Slicer_Order_Mod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Project-ecommence.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22" l="1"/>
  <c r="K4" i="22"/>
  <c r="L4" i="22"/>
  <c r="I4" i="22"/>
  <c r="I5" i="22"/>
  <c r="J5" i="22"/>
  <c r="K5" i="22"/>
  <c r="L5" i="22"/>
  <c r="I6" i="22"/>
  <c r="J6" i="22"/>
  <c r="K6" i="22"/>
  <c r="L6" i="22"/>
  <c r="I7" i="22"/>
  <c r="J7" i="22"/>
  <c r="K7" i="22"/>
  <c r="L7" i="22"/>
  <c r="I8" i="22"/>
  <c r="J8" i="22"/>
  <c r="K8" i="22"/>
  <c r="L8" i="22"/>
  <c r="I9" i="22"/>
  <c r="J9" i="22"/>
  <c r="K9" i="22"/>
  <c r="L9" i="22"/>
  <c r="H6" i="22"/>
  <c r="H7" i="22"/>
  <c r="H8" i="22"/>
  <c r="H9" i="22"/>
  <c r="H5" i="22"/>
  <c r="K4" i="6"/>
  <c r="J4" i="6"/>
  <c r="I4" i="6"/>
  <c r="H4" i="6"/>
  <c r="G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0F6B5A-DB45-466D-BF11-59E2DD3AE7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530A6DA-BD26-4999-93BE-7C110C7CFEE2}" name="WorksheetConnection_Project-ecommence.xlsx!orders" type="102" refreshedVersion="8" minRefreshableVersion="5">
    <extLst>
      <ext xmlns:x15="http://schemas.microsoft.com/office/spreadsheetml/2010/11/main" uri="{DE250136-89BD-433C-8126-D09CA5730AF9}">
        <x15:connection id="orders" autoDelete="1">
          <x15:rangePr sourceName="_xlcn.WorksheetConnection_Projectecommence.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<sst xmlns="http://schemas.openxmlformats.org/spreadsheetml/2006/main" count="14951" uniqueCount="2544">
  <si>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</si>
  <si>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</si>
  <si>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</si>
  <si>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</si>
  <si>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</si>
  <si>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</si>
  <si>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</si>
  <si>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</si>
  <si>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</si>
  <si>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</si>
  <si>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</si>
  <si>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</si>
  <si>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</si>
  <si>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</si>
  <si>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</si>
  <si>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</si>
  <si>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</si>
  <si>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</si>
  <si>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</si>
  <si>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</si>
  <si>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</si>
  <si>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</si>
  <si>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</si>
  <si>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</si>
  <si>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</si>
  <si>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</si>
  <si>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</si>
  <si>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</si>
  <si>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</si>
  <si>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</si>
  <si>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</si>
  <si>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</si>
  <si>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</si>
  <si>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</si>
  <si>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</si>
  <si>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</si>
  <si>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</si>
  <si>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</si>
  <si>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</si>
  <si>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</si>
  <si>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</si>
  <si>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</si>
  <si>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</si>
  <si>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</si>
  <si>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</si>
  <si>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</si>
  <si>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</si>
  <si>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</si>
  <si>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</si>
  <si>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</si>
  <si>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</si>
  <si>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</si>
  <si>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</si>
  <si>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</si>
  <si>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</si>
  <si>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</si>
  <si>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</si>
  <si>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</si>
  <si>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</si>
  <si>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</si>
  <si>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</si>
  <si>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</si>
  <si>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</si>
  <si>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</si>
  <si>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</si>
  <si>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</si>
  <si>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</si>
  <si>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</si>
  <si>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</si>
  <si>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</si>
  <si>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</si>
  <si>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</si>
  <si>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</si>
  <si>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</si>
  <si>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</si>
  <si>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</si>
  <si>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</si>
  <si>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</si>
  <si>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</si>
  <si>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</si>
  <si>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</si>
  <si>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</si>
  <si>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</si>
  <si>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</si>
  <si>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</si>
  <si>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</si>
  <si>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</si>
  <si>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</si>
  <si>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</si>
  <si>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</si>
  <si>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</si>
  <si>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</si>
  <si>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</si>
  <si>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</si>
  <si>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</si>
  <si>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</si>
  <si>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</si>
  <si>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</si>
  <si>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</si>
  <si>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</si>
  <si>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</si>
  <si>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</si>
  <si>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</si>
  <si>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</si>
  <si>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</si>
  <si>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</si>
  <si>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</si>
  <si>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</si>
  <si>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</si>
  <si>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</si>
  <si>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</si>
  <si>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</si>
  <si>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</si>
  <si>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</si>
  <si>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</si>
  <si>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</si>
  <si>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</si>
  <si>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</si>
  <si>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</si>
  <si>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</si>
  <si>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</si>
  <si>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</si>
  <si>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</si>
  <si>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</si>
  <si>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</si>
  <si>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</si>
  <si>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</si>
  <si>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</si>
  <si>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</si>
  <si>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</si>
  <si>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</si>
  <si>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</si>
  <si>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</si>
  <si>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</si>
  <si>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</si>
  <si>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</si>
  <si>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</si>
  <si>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</si>
  <si>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</si>
  <si>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</si>
  <si>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</si>
  <si>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</si>
  <si>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</si>
  <si>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</si>
  <si>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</si>
  <si>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</si>
  <si>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</si>
  <si>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</si>
  <si>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</si>
  <si>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</si>
  <si>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</si>
  <si>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</si>
  <si>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</si>
  <si>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</si>
  <si>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</si>
  <si>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</si>
  <si>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</si>
  <si>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</si>
  <si>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</si>
  <si>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</si>
  <si>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</si>
  <si>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</si>
  <si>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</si>
  <si>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</si>
  <si>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</si>
  <si>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</si>
  <si>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</si>
  <si>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</si>
  <si>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</si>
  <si>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</si>
  <si>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</si>
  <si>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</si>
  <si>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</si>
  <si>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</si>
  <si>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</si>
  <si>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</si>
  <si>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</si>
  <si>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</si>
  <si>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</si>
  <si>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</si>
  <si>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</si>
  <si>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</si>
  <si>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</si>
  <si>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</si>
  <si>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</si>
  <si>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</si>
  <si>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</si>
  <si>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</si>
  <si>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</si>
  <si>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</si>
  <si>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</si>
  <si>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</si>
  <si>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</si>
  <si>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</si>
  <si>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</si>
  <si>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</si>
  <si>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</si>
  <si>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</si>
  <si>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</si>
  <si>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</si>
  <si>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</si>
  <si>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</si>
  <si>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</si>
  <si>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</si>
  <si>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</si>
  <si>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</si>
  <si>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</si>
  <si>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</si>
  <si>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</si>
  <si>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</si>
  <si>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</si>
  <si>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</si>
  <si>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</si>
  <si>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</si>
  <si>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</si>
  <si>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</si>
  <si>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</si>
  <si>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</si>
  <si>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</si>
  <si>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</si>
  <si>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</si>
  <si>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</si>
  <si>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</si>
  <si>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</si>
  <si>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</si>
  <si>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</si>
  <si>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</si>
  <si>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</si>
  <si>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</si>
  <si>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</si>
  <si>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</si>
  <si>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</si>
  <si>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</si>
  <si>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</si>
  <si>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</si>
  <si>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</si>
  <si>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</si>
  <si>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</si>
  <si>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</si>
  <si>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</si>
  <si>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</si>
  <si>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</si>
  <si>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</si>
  <si>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</si>
  <si>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</si>
  <si>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</si>
  <si>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</si>
  <si>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</si>
  <si>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</si>
  <si>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</si>
  <si>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</si>
  <si>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</si>
  <si>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</si>
  <si>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</si>
  <si>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</si>
  <si>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</si>
  <si>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</si>
  <si>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</si>
  <si>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</si>
  <si>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</si>
  <si>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</si>
  <si>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</si>
  <si>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</si>
  <si>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</si>
  <si>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</si>
  <si>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</si>
  <si>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</si>
  <si>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</si>
  <si>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</si>
  <si>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</si>
  <si>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</si>
  <si>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</si>
  <si>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</si>
  <si>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</si>
  <si>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</si>
  <si>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</si>
  <si>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</si>
  <si>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</si>
  <si>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</si>
  <si>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</si>
  <si>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</si>
  <si>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</si>
  <si>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</si>
  <si>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</si>
  <si>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</si>
  <si>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</si>
  <si>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</si>
  <si>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</si>
  <si>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</si>
  <si>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</si>
  <si>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</si>
  <si>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</si>
  <si>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</si>
  <si>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</si>
  <si>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</si>
  <si>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</si>
  <si>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</si>
  <si>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</si>
  <si>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</si>
  <si>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</si>
  <si>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</si>
  <si>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</si>
  <si>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</si>
  <si>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</si>
  <si>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</si>
  <si>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</si>
  <si>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</si>
  <si>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</si>
  <si>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</si>
  <si>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</si>
  <si>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</si>
  <si>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</si>
  <si>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</si>
  <si>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</si>
  <si>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</si>
  <si>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</si>
  <si>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</si>
  <si>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</si>
  <si>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</si>
  <si>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</si>
  <si>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</si>
  <si>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</si>
  <si>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</si>
  <si>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</si>
  <si>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</si>
  <si>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</si>
  <si>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</si>
  <si>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</si>
  <si>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</si>
  <si>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</si>
  <si>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</si>
  <si>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</si>
  <si>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</si>
  <si>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</si>
  <si>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</si>
  <si>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</si>
  <si>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</si>
  <si>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</si>
  <si>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</si>
  <si>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</si>
  <si>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</si>
  <si>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</si>
  <si>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</si>
  <si>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</si>
  <si>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</si>
  <si>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</si>
  <si>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</si>
  <si>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</si>
  <si>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</si>
  <si>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</si>
  <si>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</si>
  <si>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</si>
  <si>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</si>
  <si>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</si>
  <si>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</si>
  <si>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</si>
  <si>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</si>
  <si>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</si>
  <si>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</si>
  <si>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</si>
  <si>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</si>
  <si>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</si>
  <si>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</si>
  <si>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</si>
  <si>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</si>
  <si>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</si>
  <si>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</si>
  <si>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</si>
  <si>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</si>
  <si>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</si>
  <si>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</si>
  <si>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</si>
  <si>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</si>
  <si>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</si>
  <si>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</si>
  <si>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</si>
  <si>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</si>
  <si>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</si>
  <si>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</si>
  <si>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</si>
  <si>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</si>
  <si>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</si>
  <si>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</si>
  <si>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</si>
  <si>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</si>
  <si>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</si>
  <si>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</si>
  <si>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</si>
  <si>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</si>
  <si>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</si>
  <si>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</si>
  <si>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</si>
  <si>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</si>
  <si>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</si>
  <si>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</si>
  <si>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</si>
  <si>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</si>
  <si>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</si>
  <si>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</si>
  <si>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</si>
  <si>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</si>
  <si>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</si>
  <si>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</si>
  <si>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</si>
  <si>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</si>
  <si>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</si>
  <si>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</si>
  <si>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</si>
  <si>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</si>
  <si>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</si>
  <si>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</si>
  <si>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</si>
  <si>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</si>
  <si>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</si>
  <si>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</si>
  <si>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</si>
  <si>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</si>
  <si>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</si>
  <si>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</si>
  <si>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</si>
  <si>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</si>
  <si>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</si>
  <si>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</si>
  <si>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</si>
  <si>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</si>
  <si>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</si>
  <si>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</si>
  <si>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</si>
  <si>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</si>
  <si>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</si>
  <si>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</si>
  <si>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</si>
  <si>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</si>
  <si>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</si>
  <si>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</si>
  <si>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</si>
  <si>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</si>
  <si>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</si>
  <si>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</si>
  <si>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</si>
  <si>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</si>
  <si>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</si>
  <si>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</si>
  <si>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</si>
  <si>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</si>
  <si>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</si>
  <si>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</si>
  <si>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</si>
  <si>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</si>
  <si>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</si>
  <si>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</si>
  <si>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</si>
  <si>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</si>
  <si>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</si>
  <si>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</si>
  <si>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</si>
  <si>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</si>
  <si>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</si>
  <si>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</si>
  <si>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</si>
  <si>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</si>
  <si>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</si>
  <si>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</si>
  <si>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</si>
  <si>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</si>
  <si>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</si>
  <si>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</si>
  <si>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</si>
  <si>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</si>
  <si>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</si>
  <si>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</si>
  <si>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</si>
  <si>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</si>
  <si>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</si>
  <si>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</si>
  <si>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</si>
  <si>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</si>
  <si>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</si>
  <si>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</si>
  <si>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</si>
  <si>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</si>
  <si>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</si>
  <si>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</si>
  <si>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</si>
  <si>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</si>
  <si>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</si>
  <si>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</si>
  <si>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</si>
  <si>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</si>
  <si>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</si>
  <si>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</si>
  <si>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</si>
  <si>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</si>
  <si>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</si>
  <si>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</si>
  <si>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</si>
  <si>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</si>
  <si>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</si>
  <si>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</si>
  <si>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</si>
  <si>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</si>
  <si>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</si>
  <si>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</si>
  <si>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</si>
  <si>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</si>
  <si>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</si>
  <si>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</si>
  <si>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</si>
  <si>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</si>
  <si>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</si>
  <si>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</si>
  <si>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</si>
  <si>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</si>
  <si>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</si>
  <si>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</si>
  <si>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</si>
  <si>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</si>
  <si>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</si>
  <si>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</si>
  <si>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</si>
  <si>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</si>
  <si>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</si>
  <si>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</si>
  <si>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</si>
  <si>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</si>
  <si>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</si>
  <si>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</si>
  <si>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</si>
  <si>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</si>
  <si>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</si>
  <si>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</si>
  <si>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</si>
  <si>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</si>
  <si>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</si>
  <si>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</si>
  <si>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</si>
  <si>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</si>
  <si>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</si>
  <si>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</si>
  <si>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</si>
  <si>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</si>
  <si>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</si>
  <si>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</si>
  <si>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</si>
  <si>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</si>
  <si>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</si>
  <si>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</si>
  <si>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</si>
  <si>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</si>
  <si>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</si>
  <si>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</si>
  <si>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</si>
  <si>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</si>
  <si>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</si>
  <si>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</si>
  <si>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</si>
  <si>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</si>
  <si>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</si>
  <si>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</si>
  <si>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</si>
  <si>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</si>
  <si>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</si>
  <si>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</si>
  <si>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</si>
  <si>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</si>
  <si>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</si>
  <si>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</si>
  <si>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</si>
  <si>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</si>
  <si>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</si>
  <si>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</si>
  <si>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</si>
  <si>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</si>
  <si>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</si>
  <si>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</si>
  <si>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</si>
  <si>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</si>
  <si>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</si>
  <si>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</si>
  <si>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</si>
  <si>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</si>
  <si>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</si>
  <si>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</si>
  <si>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</si>
  <si>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</si>
  <si>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</si>
  <si>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</si>
  <si>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</si>
  <si>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</si>
  <si>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</si>
  <si>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</si>
  <si>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</si>
  <si>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</si>
  <si>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</si>
  <si>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</si>
  <si>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</si>
  <si>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</si>
  <si>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</si>
  <si>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</si>
  <si>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</si>
  <si>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</si>
  <si>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</si>
  <si>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</si>
  <si>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</si>
  <si>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</si>
  <si>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</si>
  <si>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</si>
  <si>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</si>
  <si>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</si>
  <si>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</si>
  <si>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</si>
  <si>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</si>
  <si>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</si>
  <si>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</si>
  <si>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</si>
  <si>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</si>
  <si>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</si>
  <si>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</si>
  <si>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</si>
  <si>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</si>
  <si>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</si>
  <si>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</si>
  <si>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</si>
  <si>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</si>
  <si>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</si>
  <si>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</si>
  <si>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</si>
  <si>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</si>
  <si>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</si>
  <si>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</si>
  <si>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</si>
  <si>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</si>
  <si>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</si>
  <si>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</si>
  <si>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</si>
  <si>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</si>
  <si>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</si>
  <si>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</si>
  <si>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</si>
  <si>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</si>
  <si>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</si>
  <si>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</si>
  <si>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</si>
  <si>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</si>
  <si>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</si>
  <si>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</si>
  <si>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</si>
  <si>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</si>
  <si>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</si>
  <si>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</si>
  <si>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</si>
  <si>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</si>
  <si>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</si>
  <si>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</si>
  <si>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</si>
  <si>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</si>
  <si>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</si>
  <si>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</si>
  <si>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</si>
  <si>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</si>
  <si>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</si>
  <si>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</si>
  <si>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</si>
  <si>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</si>
  <si>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</si>
  <si>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</si>
  <si>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</si>
  <si>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</si>
  <si>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</si>
  <si>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</si>
  <si>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</si>
  <si>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</si>
  <si>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</si>
  <si>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</si>
  <si>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</si>
  <si>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</si>
  <si>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</si>
  <si>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</si>
  <si>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</si>
  <si>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</si>
  <si>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</si>
  <si>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</si>
  <si>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</si>
  <si>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</si>
  <si>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</si>
  <si>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</si>
  <si>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</si>
  <si>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</si>
  <si>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</si>
  <si>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</si>
  <si>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</si>
  <si>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</si>
  <si>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</si>
  <si>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</si>
  <si>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</si>
  <si>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</si>
  <si>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</si>
  <si>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</si>
  <si>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</si>
  <si>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</si>
  <si>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</si>
  <si>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</si>
  <si>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</si>
  <si>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</si>
  <si>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</si>
  <si>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</si>
  <si>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</si>
  <si>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</si>
  <si>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</si>
  <si>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</si>
  <si>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</si>
  <si>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</si>
  <si>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</si>
  <si>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</si>
  <si>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</si>
  <si>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</si>
  <si>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</si>
  <si>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</si>
  <si>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</si>
  <si>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</si>
  <si>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</si>
  <si>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</si>
  <si>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</si>
  <si>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</si>
  <si>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</si>
  <si>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</si>
  <si>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</si>
  <si>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</si>
  <si>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</si>
  <si>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</si>
  <si>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</si>
  <si>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</si>
  <si>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</si>
  <si>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</si>
  <si>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</si>
  <si>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</si>
  <si>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</si>
  <si>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</si>
  <si>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</si>
  <si>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</si>
  <si>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</si>
  <si>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</si>
  <si>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</si>
  <si>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</si>
  <si>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</si>
  <si>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</si>
  <si>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</si>
  <si>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</si>
  <si>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</si>
  <si>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</si>
  <si>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</si>
  <si>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</si>
  <si>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</si>
  <si>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</si>
  <si>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</si>
  <si>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</si>
  <si>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</si>
  <si>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</si>
  <si>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</si>
  <si>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</si>
  <si>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</si>
  <si>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</si>
  <si>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</si>
  <si>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</si>
  <si>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</si>
  <si>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</si>
  <si>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</si>
  <si>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</si>
  <si>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</si>
  <si>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</si>
  <si>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</si>
  <si>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</si>
  <si>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</si>
  <si>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</si>
  <si>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</si>
  <si>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</si>
  <si>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</si>
  <si>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</si>
  <si>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</si>
  <si>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</si>
  <si>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</si>
  <si>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</si>
  <si>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</si>
  <si>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</si>
  <si>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</si>
  <si>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</si>
  <si>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</si>
  <si>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</si>
  <si>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</si>
  <si>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</si>
  <si>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</si>
  <si>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</si>
  <si>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</si>
  <si>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</si>
  <si>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</si>
  <si>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</si>
  <si>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</si>
  <si>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</si>
  <si>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</si>
  <si>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</si>
  <si>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</si>
  <si>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</si>
  <si>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</si>
  <si>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</si>
  <si>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</si>
  <si>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</si>
  <si>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</si>
  <si>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</si>
  <si>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</si>
  <si>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</si>
  <si>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</si>
  <si>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</si>
  <si>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</si>
  <si>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</si>
  <si>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</si>
  <si>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</si>
  <si>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</si>
  <si>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</si>
  <si>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</si>
  <si>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</si>
  <si>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</si>
  <si>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</si>
  <si>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</si>
  <si>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</si>
  <si>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</si>
  <si>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</si>
  <si>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</si>
  <si>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</si>
  <si>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</si>
  <si>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</si>
  <si>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</si>
  <si>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</si>
  <si>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</si>
  <si>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</si>
  <si>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</si>
  <si>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</si>
  <si>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</si>
  <si>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</si>
  <si>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</si>
  <si>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</si>
  <si>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</si>
  <si>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</si>
  <si>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</si>
  <si>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</si>
  <si>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</si>
  <si>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</si>
  <si>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</si>
  <si>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</si>
  <si>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</si>
  <si>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</si>
  <si>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</si>
  <si>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</si>
  <si>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</si>
  <si>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</si>
  <si>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</si>
  <si>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</si>
  <si>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</si>
  <si>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</si>
  <si>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</si>
  <si>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</si>
  <si>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</si>
  <si>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</si>
  <si>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</si>
  <si>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</si>
  <si>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</si>
  <si>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</si>
  <si>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</si>
  <si>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</si>
  <si>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</si>
  <si>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</si>
  <si>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</si>
  <si>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</si>
  <si>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</si>
  <si>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</si>
  <si>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</si>
  <si>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</si>
  <si>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</si>
  <si>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</si>
  <si>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</si>
  <si>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</si>
  <si>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</si>
  <si>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</si>
  <si>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</si>
  <si>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</si>
  <si>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</si>
  <si>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</si>
  <si>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</si>
  <si>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</si>
  <si>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</si>
  <si>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</si>
  <si>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</si>
  <si>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</si>
  <si>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</si>
  <si>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</si>
  <si>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</si>
  <si>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</si>
  <si>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</si>
  <si>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</si>
  <si>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</si>
  <si>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</si>
  <si>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</si>
  <si>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</si>
  <si>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</si>
  <si>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</si>
  <si>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</si>
  <si>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</si>
  <si>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</si>
  <si>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</si>
  <si>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</si>
  <si>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</si>
  <si>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</si>
  <si>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</si>
  <si>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</si>
  <si>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</si>
  <si>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</si>
  <si>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</si>
  <si>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</si>
  <si>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</si>
  <si>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</si>
  <si>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</si>
  <si>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</si>
  <si>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</si>
  <si>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</si>
  <si>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</si>
  <si>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</si>
  <si>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</si>
  <si>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</si>
  <si>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</si>
  <si>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</si>
  <si>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</si>
  <si>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</si>
  <si>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</si>
  <si>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</si>
  <si>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</si>
  <si>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</si>
  <si>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</si>
  <si>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</si>
  <si>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</si>
  <si>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</si>
  <si>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</si>
  <si>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</si>
  <si>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</si>
  <si>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</si>
  <si>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</si>
  <si>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</si>
  <si>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</si>
  <si>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</si>
  <si>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</si>
  <si>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</si>
  <si>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</si>
  <si>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</si>
  <si>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</si>
  <si>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</si>
  <si>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</si>
  <si>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</si>
  <si>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</si>
  <si>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</si>
  <si>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</si>
  <si>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</si>
  <si>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</si>
  <si>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</si>
  <si>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</si>
  <si>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</si>
  <si>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</si>
  <si>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</si>
  <si>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</si>
  <si>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</si>
  <si>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</si>
  <si>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</si>
  <si>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</si>
  <si>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</si>
  <si>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</si>
  <si>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</si>
  <si>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</si>
  <si>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</si>
  <si>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</si>
  <si>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</si>
  <si>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</si>
  <si>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</si>
  <si>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</si>
  <si>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</si>
  <si>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</si>
  <si>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</si>
  <si>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</si>
  <si>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</si>
  <si>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</si>
  <si>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</si>
  <si>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</si>
  <si>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</si>
  <si>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</si>
  <si>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</si>
  <si>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</si>
  <si>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</si>
  <si>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</si>
  <si>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</si>
  <si>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</si>
  <si>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</si>
  <si>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</si>
  <si>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</si>
  <si>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</si>
  <si>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</si>
  <si>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</si>
  <si>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</si>
  <si>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</si>
  <si>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</si>
  <si>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</si>
  <si>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</si>
  <si>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</si>
  <si>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</si>
  <si>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</si>
  <si>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</si>
  <si>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</si>
  <si>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</si>
  <si>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</si>
  <si>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</si>
  <si>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</si>
  <si>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</si>
  <si>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</si>
  <si>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</si>
  <si>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</si>
  <si>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</si>
  <si>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</si>
  <si>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</si>
  <si>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</si>
  <si>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</si>
  <si>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</si>
  <si>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</si>
  <si>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</si>
  <si>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</si>
  <si>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</si>
  <si>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</si>
  <si>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</si>
  <si>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</si>
  <si>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</si>
  <si>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</si>
  <si>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</si>
  <si>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</si>
  <si>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</si>
  <si>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</si>
  <si>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</si>
  <si>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</si>
  <si>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</si>
  <si>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</si>
  <si>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</si>
  <si>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</si>
  <si>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</si>
  <si>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</si>
  <si>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</si>
  <si>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</si>
  <si>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</si>
  <si>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</si>
  <si>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</si>
  <si>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</si>
  <si>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</si>
  <si>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</si>
  <si>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</si>
  <si>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</si>
  <si>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</si>
  <si>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</si>
  <si>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</si>
  <si>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</si>
  <si>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</si>
  <si>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</si>
  <si>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</si>
  <si>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</si>
  <si>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</si>
  <si>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</si>
  <si>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</si>
  <si>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</si>
  <si>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</si>
  <si>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</si>
  <si>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</si>
  <si>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</si>
  <si>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</si>
  <si>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</si>
  <si>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</si>
  <si>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</si>
  <si>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</si>
  <si>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</si>
  <si>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</si>
  <si>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</si>
  <si>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</si>
  <si>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</si>
  <si>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</si>
  <si>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</si>
  <si>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</si>
  <si>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</si>
  <si>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</si>
  <si>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</si>
  <si>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</si>
  <si>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</si>
  <si>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</si>
  <si>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</si>
  <si>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</si>
  <si>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</si>
  <si>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</si>
  <si>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</si>
  <si>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</si>
  <si>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</si>
  <si>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</si>
  <si>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</si>
  <si>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</si>
  <si>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</si>
  <si>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</si>
  <si>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</si>
  <si>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</si>
  <si>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</si>
  <si>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</si>
  <si>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</si>
  <si>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</si>
  <si>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</si>
  <si>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</si>
  <si>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</si>
  <si>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</si>
  <si>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</si>
  <si>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</si>
  <si>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</si>
  <si>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</si>
  <si>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</si>
  <si>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</si>
  <si>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</si>
  <si>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</si>
  <si>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</si>
  <si>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</si>
  <si>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</si>
  <si>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</si>
  <si>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</si>
  <si>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</si>
  <si>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</si>
  <si>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</si>
  <si>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</si>
  <si>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</si>
  <si>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</si>
  <si>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</si>
  <si>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</si>
  <si>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</si>
  <si>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</si>
  <si>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</si>
  <si>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</si>
  <si>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</si>
  <si>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</si>
  <si>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</si>
  <si>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</si>
  <si>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</si>
  <si>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</si>
  <si>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</si>
  <si>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</si>
  <si>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</si>
  <si>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</si>
  <si>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</si>
  <si>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</si>
  <si>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</si>
  <si>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</si>
  <si>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</si>
  <si>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</si>
  <si>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</si>
  <si>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</si>
  <si>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</si>
  <si>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</si>
  <si>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</si>
  <si>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</si>
  <si>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</si>
  <si>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</si>
  <si>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</si>
  <si>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</si>
  <si>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</si>
  <si>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</si>
  <si>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</si>
  <si>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</si>
  <si>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</si>
  <si>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</si>
  <si>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</si>
  <si>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</si>
  <si>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</si>
  <si>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</si>
  <si>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</si>
  <si>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</si>
  <si>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</si>
  <si>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</si>
  <si>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</si>
  <si>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</si>
  <si>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</si>
  <si>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</si>
  <si>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</si>
  <si>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</si>
  <si>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</si>
  <si>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</si>
  <si>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</si>
  <si>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</si>
  <si>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</si>
  <si>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</si>
  <si>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</si>
  <si>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</si>
  <si>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</si>
  <si>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</si>
  <si>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</si>
  <si>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</si>
  <si>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</si>
  <si>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</si>
  <si>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</si>
  <si>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</si>
  <si>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</si>
  <si>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</si>
  <si>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</si>
  <si>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</si>
  <si>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</si>
  <si>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</si>
  <si>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</si>
  <si>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</si>
  <si>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</si>
  <si>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</si>
  <si>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</si>
  <si>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</si>
  <si>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</si>
  <si>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</si>
  <si>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</si>
  <si>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</si>
  <si>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</si>
  <si>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</si>
  <si>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</si>
  <si>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</si>
  <si>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</si>
  <si>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</si>
  <si>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</si>
  <si>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</si>
  <si>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</si>
  <si>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</si>
  <si>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</si>
  <si>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</si>
  <si>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</si>
  <si>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</si>
  <si>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</si>
  <si>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</si>
  <si>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</si>
  <si>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</si>
  <si>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</si>
  <si>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</si>
  <si>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</si>
  <si>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</si>
  <si>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</si>
  <si>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</si>
  <si>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</si>
  <si>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</si>
  <si>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</si>
  <si>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</si>
  <si>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</si>
  <si>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</si>
  <si>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</si>
  <si>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</si>
  <si>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</si>
  <si>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</si>
  <si>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</si>
  <si>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</si>
  <si>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</si>
  <si>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</si>
  <si>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</si>
  <si>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</si>
  <si>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</si>
  <si>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</si>
  <si>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</si>
  <si>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</si>
  <si>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</si>
  <si>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</si>
  <si>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</si>
  <si>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</si>
  <si>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</si>
  <si>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</si>
  <si>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</si>
  <si>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</si>
  <si>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</si>
  <si>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</si>
  <si>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</si>
  <si>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</si>
  <si>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</si>
  <si>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</si>
  <si>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</si>
  <si>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</si>
  <si>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</si>
  <si>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</si>
  <si>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</si>
  <si>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</si>
  <si>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</si>
  <si>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</si>
  <si>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</si>
  <si>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</si>
  <si>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</si>
  <si>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</si>
  <si>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</si>
  <si>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</si>
  <si>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</si>
  <si>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</si>
  <si>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</si>
  <si>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</si>
  <si>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</si>
  <si>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</si>
  <si>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</si>
  <si>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</si>
  <si>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</si>
  <si>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</si>
  <si>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</si>
  <si>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</si>
  <si>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</si>
  <si>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</si>
  <si>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</si>
  <si>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</si>
  <si>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</si>
  <si>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</si>
  <si>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</si>
  <si>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</si>
  <si>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</si>
  <si>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</si>
  <si>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</si>
  <si>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</si>
  <si>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</si>
  <si>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</si>
  <si>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</si>
  <si>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</si>
  <si>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</si>
  <si>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</si>
  <si>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</si>
  <si>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</si>
  <si>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</si>
  <si>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</si>
  <si>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</si>
  <si>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</si>
  <si>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</si>
  <si>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</si>
  <si>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</si>
  <si>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</si>
  <si>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</si>
  <si>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</si>
  <si>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</si>
  <si>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</si>
  <si>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</si>
  <si>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</si>
  <si>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</si>
  <si>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</si>
  <si>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</si>
  <si>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</si>
  <si>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</si>
  <si>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</si>
  <si>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</si>
  <si>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</si>
  <si>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</si>
  <si>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</si>
  <si>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</si>
  <si>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</si>
  <si>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</si>
  <si>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</si>
  <si>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</si>
  <si>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</si>
  <si>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</si>
  <si>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</si>
  <si>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</si>
  <si>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</si>
  <si>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</si>
  <si>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</si>
  <si>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</si>
  <si>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</si>
  <si>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</si>
  <si>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</si>
  <si>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</si>
  <si>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</si>
  <si>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</si>
  <si>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</si>
  <si>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</si>
  <si>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</si>
  <si>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</si>
  <si>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</si>
  <si>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</si>
  <si>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</si>
  <si>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</si>
  <si>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</si>
  <si>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</si>
  <si>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</si>
  <si>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</si>
  <si>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</si>
  <si>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</si>
  <si>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</si>
  <si>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</si>
  <si>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</si>
  <si>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</si>
  <si>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</si>
  <si>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</si>
  <si>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</si>
  <si>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</si>
  <si>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</si>
  <si>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</si>
  <si>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</si>
  <si>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</si>
  <si>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</si>
  <si>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</si>
  <si>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</si>
  <si>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</si>
  <si>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</si>
  <si>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</si>
  <si>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</si>
  <si>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</si>
  <si>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</si>
  <si>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</si>
  <si>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</si>
  <si>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</si>
  <si>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</si>
  <si>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</si>
  <si>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</si>
  <si>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</si>
  <si>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</si>
  <si>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</si>
  <si>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</si>
  <si>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</si>
  <si>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</si>
  <si>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</si>
  <si>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</si>
  <si>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</si>
  <si>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</si>
  <si>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</si>
  <si>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</si>
  <si>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</si>
  <si>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</si>
  <si>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</si>
  <si>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</si>
  <si>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</si>
  <si>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</si>
  <si>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</si>
  <si>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</si>
  <si>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</si>
  <si>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</si>
  <si>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</si>
  <si>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</si>
  <si>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</si>
  <si>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</si>
  <si>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</si>
  <si>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</si>
  <si>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</si>
  <si>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</si>
  <si>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</si>
  <si>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</si>
  <si>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</si>
  <si>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</si>
  <si>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</si>
  <si>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</si>
  <si>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</si>
  <si>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</si>
  <si>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</si>
  <si>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</si>
  <si>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</si>
  <si>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</si>
  <si>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</si>
  <si>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</si>
  <si>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</si>
  <si>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</si>
  <si>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</si>
  <si>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</si>
  <si>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</si>
  <si>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</si>
  <si>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</si>
  <si>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</si>
  <si>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</si>
  <si>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</si>
  <si>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</si>
  <si>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</si>
  <si>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</si>
  <si>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</si>
  <si>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</si>
  <si>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</si>
  <si>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</si>
  <si>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</si>
  <si>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</si>
  <si>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</si>
  <si>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</si>
  <si>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</si>
  <si>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</si>
  <si>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</si>
  <si>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</si>
  <si>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</si>
  <si>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</si>
  <si>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</si>
  <si>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</si>
  <si>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</si>
  <si>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</si>
  <si>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</si>
  <si>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</si>
  <si>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</si>
  <si>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</si>
  <si>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</si>
  <si>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</si>
  <si>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</si>
  <si>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</si>
  <si>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</si>
  <si>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</si>
  <si>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</si>
  <si>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</si>
  <si>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</si>
  <si>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</si>
  <si>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</si>
  <si>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</si>
  <si>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</si>
  <si>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</si>
  <si>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</si>
  <si>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</si>
  <si>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</si>
  <si>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</si>
  <si>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</si>
  <si>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</si>
  <si>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</si>
  <si>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</si>
  <si>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</si>
  <si>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</si>
  <si>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</si>
  <si>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</si>
  <si>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</si>
  <si>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</si>
  <si>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</si>
  <si>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</si>
  <si>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</si>
  <si>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</si>
  <si>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</si>
  <si>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</si>
  <si>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</si>
  <si>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</si>
  <si>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</si>
  <si>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</si>
  <si>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</si>
  <si>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</si>
  <si>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</si>
  <si>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</si>
  <si>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</si>
  <si>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</si>
  <si>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</si>
  <si>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</si>
  <si>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</si>
  <si>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</si>
  <si>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</si>
  <si>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</si>
  <si>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</si>
  <si>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</si>
  <si>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</si>
  <si>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</si>
  <si>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</si>
  <si>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</si>
  <si>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</si>
  <si>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</si>
  <si>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</si>
  <si>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</si>
  <si>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</si>
  <si>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</si>
  <si>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</si>
  <si>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</si>
  <si>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</si>
  <si>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</si>
  <si>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</si>
  <si>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</si>
  <si>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</si>
  <si>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</si>
  <si>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</si>
  <si>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</si>
  <si>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</si>
  <si>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</si>
  <si>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</si>
  <si>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</si>
  <si>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</si>
  <si>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</si>
  <si>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</si>
  <si>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</si>
  <si>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</si>
  <si>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</si>
  <si>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</si>
  <si>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</si>
  <si>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</si>
  <si>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</si>
  <si>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</si>
  <si>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</si>
  <si>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</si>
  <si>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</si>
  <si>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</si>
  <si>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</si>
  <si>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</si>
  <si>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</si>
  <si>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</si>
  <si>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</si>
  <si>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</si>
  <si>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</si>
  <si>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</si>
  <si>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</si>
  <si>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</si>
  <si>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</si>
  <si>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</si>
  <si>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</si>
  <si>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</si>
  <si>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</si>
  <si>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</si>
  <si>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</si>
  <si>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</si>
  <si>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</si>
  <si>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</si>
  <si>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</si>
  <si>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</si>
  <si>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</si>
  <si>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</si>
  <si>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</si>
  <si>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</si>
  <si>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</si>
  <si>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</si>
  <si>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</si>
  <si>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</si>
  <si>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</si>
  <si>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</si>
  <si>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</si>
  <si>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</si>
  <si>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</si>
  <si>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</si>
  <si>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</si>
  <si>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</si>
  <si>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</si>
  <si>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</si>
  <si>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</si>
  <si>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</si>
  <si>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</si>
  <si>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</si>
  <si>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</si>
  <si>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</si>
  <si>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</si>
  <si>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</si>
  <si>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</si>
  <si>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</si>
  <si>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</si>
  <si>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</si>
  <si>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</si>
  <si>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</si>
  <si>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</si>
  <si>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</si>
  <si>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</si>
  <si>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</si>
  <si>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</si>
  <si>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</si>
  <si>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</si>
  <si>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</si>
  <si>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</si>
  <si>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</si>
  <si>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</si>
  <si>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</si>
  <si>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</si>
  <si>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</si>
  <si>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</si>
  <si>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</si>
  <si>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</si>
  <si>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</si>
  <si>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</si>
  <si>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</si>
  <si>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</si>
  <si>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</si>
  <si>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</si>
  <si>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</si>
  <si>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</si>
  <si>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</si>
  <si>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</si>
  <si>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</si>
  <si>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</si>
  <si>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</si>
  <si>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</si>
  <si>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</si>
  <si>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</si>
  <si>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</si>
  <si>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</si>
  <si>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</si>
  <si>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</si>
  <si>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</si>
  <si>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</si>
  <si>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</si>
  <si>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</si>
  <si>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</si>
  <si>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</si>
  <si>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</si>
  <si>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</si>
  <si>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</si>
  <si>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</si>
  <si>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</si>
  <si>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</si>
  <si>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</si>
  <si>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</si>
  <si>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</si>
  <si>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</si>
  <si>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</si>
  <si>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</si>
  <si>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</si>
  <si>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</si>
  <si>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</si>
  <si>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</si>
  <si>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</si>
  <si>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</si>
  <si>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</si>
  <si>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</si>
  <si>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</si>
  <si>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</si>
  <si>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</si>
  <si>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</si>
  <si>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</si>
  <si>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</si>
  <si>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</si>
  <si>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</si>
  <si>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</si>
  <si>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</si>
  <si>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</si>
  <si>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</si>
  <si>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</si>
  <si>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</si>
  <si>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</si>
  <si>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</si>
  <si>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</si>
  <si>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</si>
  <si>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</si>
  <si>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</si>
  <si>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</si>
  <si>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</si>
  <si>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</si>
  <si>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</si>
  <si>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</si>
  <si>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</si>
  <si>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</si>
  <si>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</si>
  <si>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</si>
  <si>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</si>
  <si>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</si>
  <si>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</si>
  <si>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</si>
  <si>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</si>
  <si>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</si>
  <si>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</si>
  <si>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</si>
  <si>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</si>
  <si>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</si>
  <si>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</si>
  <si>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</si>
  <si>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</si>
  <si>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</si>
  <si>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</si>
  <si>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</si>
  <si>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</si>
  <si>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</si>
  <si>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</si>
  <si>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</si>
  <si>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</si>
  <si>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</si>
  <si>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</si>
  <si>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</si>
  <si>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</si>
  <si>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</si>
  <si>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</si>
  <si>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</si>
  <si>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</si>
  <si>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</si>
  <si>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</si>
  <si>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</si>
  <si>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</si>
  <si>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</si>
  <si>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</si>
  <si>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</si>
  <si>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</si>
  <si>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</si>
  <si>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</si>
  <si>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</si>
  <si>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</si>
  <si>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</si>
  <si>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</si>
  <si>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</si>
  <si>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</si>
  <si>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</si>
  <si>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</si>
  <si>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</si>
  <si>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</si>
  <si>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</si>
  <si>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</si>
  <si>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</si>
  <si>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</si>
  <si>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</si>
  <si>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</si>
  <si>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</si>
  <si>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</si>
  <si>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</si>
  <si>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</si>
  <si>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</si>
  <si>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</si>
  <si>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</si>
  <si>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</si>
  <si>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</si>
  <si>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</si>
  <si>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</si>
  <si>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</si>
  <si>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</si>
  <si>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</si>
  <si>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</si>
  <si>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</si>
  <si>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</si>
  <si>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</si>
  <si>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</si>
  <si>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</si>
  <si>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</si>
  <si>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</si>
  <si>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</si>
  <si>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</si>
  <si>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</si>
  <si>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</si>
  <si>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</si>
  <si>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</si>
  <si>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</si>
  <si>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</si>
  <si>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</si>
  <si>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</si>
  <si>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</si>
  <si>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</si>
  <si>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</si>
  <si>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</si>
  <si>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</si>
  <si>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</si>
  <si>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</si>
  <si>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</si>
  <si>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</si>
  <si>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</si>
  <si>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</si>
  <si>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</si>
  <si>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</si>
  <si>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</si>
  <si>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</si>
  <si>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</si>
  <si>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</si>
  <si>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</si>
  <si>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</si>
  <si>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</si>
  <si>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</si>
  <si>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</si>
  <si>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</si>
  <si>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</si>
  <si>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</si>
  <si>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</si>
  <si>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</si>
  <si>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</si>
  <si>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</si>
  <si>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</si>
  <si>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</si>
  <si>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</si>
  <si>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</si>
  <si>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</si>
  <si>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</si>
  <si>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</si>
  <si>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</si>
  <si>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</si>
  <si>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</si>
  <si>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</si>
  <si>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</si>
  <si>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</si>
  <si>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</si>
  <si>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</si>
  <si>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</si>
  <si>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</si>
  <si>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</si>
  <si>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</si>
  <si>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</si>
  <si>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</si>
  <si>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</si>
  <si>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</si>
  <si>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</si>
  <si>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</si>
  <si>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</si>
  <si>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</si>
  <si>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</si>
  <si>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</si>
  <si>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</si>
  <si>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</si>
  <si>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</si>
  <si>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</si>
  <si>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</si>
  <si>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</si>
  <si>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</si>
  <si>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</si>
  <si>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</si>
  <si>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</si>
  <si>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</si>
  <si>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</si>
  <si>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</si>
  <si>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</si>
  <si>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</si>
  <si>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</si>
  <si>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</si>
  <si>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</si>
  <si>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</si>
  <si>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</si>
  <si>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</si>
  <si>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</si>
  <si>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</si>
  <si>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</si>
  <si>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</si>
  <si>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</si>
  <si>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</si>
  <si>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</si>
  <si>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</si>
  <si>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</si>
  <si>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</si>
  <si>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</si>
  <si>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</si>
  <si>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</si>
  <si>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</si>
  <si>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</si>
  <si>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</si>
  <si>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</si>
  <si>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</si>
  <si>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</si>
  <si>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</si>
  <si>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</si>
  <si>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</si>
  <si>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</si>
  <si>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</si>
  <si>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</si>
  <si>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</si>
  <si>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</si>
  <si>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</si>
  <si>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</si>
  <si>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</si>
  <si>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</si>
  <si>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</si>
  <si>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</si>
  <si>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</si>
  <si>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</si>
  <si>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</si>
  <si>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</si>
  <si>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</si>
  <si>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</si>
  <si>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</si>
  <si>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</si>
  <si>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</si>
  <si>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</si>
  <si>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</si>
  <si>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</si>
  <si>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</si>
  <si>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</si>
  <si>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</si>
  <si>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</si>
  <si>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</si>
  <si>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</si>
  <si>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</si>
  <si>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</si>
  <si>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</si>
  <si>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</si>
  <si>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</si>
  <si>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</si>
  <si>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</si>
  <si>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</si>
  <si>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</si>
  <si>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</si>
  <si>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</si>
  <si>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</si>
  <si>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</si>
  <si>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</si>
  <si>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</si>
  <si>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</si>
  <si>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</si>
  <si>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</si>
  <si>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</si>
  <si>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</si>
  <si>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</si>
  <si>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</si>
  <si>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</si>
  <si>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</si>
  <si>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</si>
  <si>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</si>
  <si>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</si>
  <si>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</si>
  <si>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</si>
  <si>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</si>
  <si>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</si>
  <si>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</si>
  <si>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</si>
  <si>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</si>
  <si>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</si>
  <si>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</si>
  <si>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</si>
  <si>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</si>
  <si>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</si>
  <si>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</si>
  <si>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</si>
  <si>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</si>
  <si>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</si>
  <si>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</si>
  <si>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</si>
  <si>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</si>
  <si>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</si>
  <si>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</si>
  <si>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</si>
  <si>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</si>
  <si>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</si>
  <si>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</si>
  <si>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</si>
  <si>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</si>
  <si>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</si>
  <si>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</si>
  <si>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</si>
  <si>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</si>
  <si>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</si>
  <si>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</si>
  <si>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</si>
  <si>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</si>
  <si>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</si>
  <si>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</si>
  <si>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</si>
  <si>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</si>
  <si>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</si>
  <si>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</si>
  <si>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</si>
  <si>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</si>
  <si>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</si>
  <si>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</si>
  <si>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</si>
  <si>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</si>
  <si>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</si>
  <si>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</si>
  <si>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</si>
  <si>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</si>
  <si>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</si>
  <si>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</si>
  <si>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</si>
  <si>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</si>
  <si>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</si>
  <si>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</si>
  <si>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</si>
  <si>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</si>
  <si>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</si>
  <si>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</si>
  <si>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</si>
  <si>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</si>
  <si>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</si>
  <si>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</si>
  <si>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</si>
  <si>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</si>
  <si>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</si>
  <si>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</si>
  <si>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</si>
  <si>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</si>
  <si>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</si>
  <si>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</si>
  <si>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</si>
  <si>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</si>
  <si>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</si>
  <si>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</si>
  <si>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</si>
  <si>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</si>
  <si>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</si>
  <si>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</si>
  <si>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</si>
  <si>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</si>
  <si>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</si>
  <si>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</si>
  <si>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</si>
  <si>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</si>
  <si>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</si>
  <si>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</si>
  <si>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</si>
  <si>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</si>
  <si>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</si>
  <si>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</si>
  <si>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</si>
  <si>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</si>
  <si>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</si>
  <si>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</si>
  <si>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</si>
  <si>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</si>
  <si>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</si>
  <si>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</si>
  <si>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</si>
  <si>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</si>
  <si>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</si>
  <si>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</si>
  <si>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</si>
  <si>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</si>
  <si>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</si>
  <si>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</si>
  <si>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</si>
  <si>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</si>
  <si>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</si>
  <si>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</si>
  <si>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</si>
  <si>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</si>
  <si>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</si>
  <si>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</si>
  <si>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</si>
  <si>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</si>
  <si>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</si>
  <si>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</si>
  <si>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</si>
  <si>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</si>
  <si>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</si>
  <si>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</si>
  <si>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</si>
  <si>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</si>
  <si>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</si>
  <si>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</si>
  <si>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</si>
  <si>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</si>
  <si>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</si>
  <si>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</si>
  <si>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</si>
  <si>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</si>
  <si>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</si>
  <si>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</si>
  <si>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</si>
  <si>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</si>
  <si>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</si>
  <si>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</si>
  <si>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</si>
  <si>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</si>
  <si>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</si>
  <si>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</si>
  <si>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</si>
  <si>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</si>
  <si>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</si>
  <si>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</si>
  <si>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</si>
  <si>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</si>
  <si>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</si>
  <si>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</si>
  <si>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</si>
  <si>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</si>
  <si>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</si>
  <si>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</si>
  <si>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</si>
  <si>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</si>
  <si>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</si>
  <si>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</si>
  <si>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</si>
  <si>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</si>
  <si>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</si>
  <si>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</si>
  <si>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</si>
  <si>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</si>
  <si>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</si>
  <si>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</si>
  <si>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</si>
  <si>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</si>
  <si>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</si>
  <si>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</si>
  <si>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</si>
  <si>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</si>
  <si>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</si>
  <si>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</si>
  <si>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</si>
  <si>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</si>
  <si>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</si>
  <si>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</si>
  <si>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</si>
  <si>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</si>
  <si>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</si>
  <si>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</si>
  <si>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</si>
  <si>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</si>
  <si>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</si>
  <si>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</si>
  <si>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</si>
  <si>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</si>
  <si>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</si>
  <si>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</si>
  <si>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</si>
  <si>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</si>
  <si>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</si>
  <si>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</si>
  <si>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</si>
  <si>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</si>
  <si>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</si>
  <si>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</si>
  <si>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</si>
  <si>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</si>
  <si>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</si>
  <si>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</si>
  <si>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</si>
  <si>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</si>
  <si>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</si>
  <si>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</si>
  <si>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</si>
  <si>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</si>
  <si>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</si>
  <si>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</si>
  <si>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</si>
  <si>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</si>
  <si>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</si>
  <si>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</si>
  <si>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</si>
  <si>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</si>
  <si>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</si>
  <si>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</si>
  <si>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</si>
  <si>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</si>
  <si>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</si>
  <si>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</si>
  <si>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</si>
  <si>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</si>
  <si>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</si>
  <si>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</si>
  <si>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</si>
  <si>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</si>
  <si>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</si>
  <si>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</si>
  <si>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</si>
  <si>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</si>
  <si>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</si>
  <si>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</si>
  <si>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</si>
  <si>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</si>
  <si>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</si>
  <si>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</si>
  <si>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</si>
  <si>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</si>
  <si>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</si>
  <si>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</si>
  <si>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</si>
  <si>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</si>
  <si>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</si>
  <si>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</si>
  <si>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</si>
  <si>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</si>
  <si>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</si>
  <si>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</si>
  <si>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</si>
  <si>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</si>
  <si>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</si>
  <si>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</si>
  <si>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</si>
  <si>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</si>
  <si>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</si>
  <si>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</si>
  <si>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</si>
  <si>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</si>
  <si>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</si>
  <si>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</si>
  <si>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</si>
  <si>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</si>
  <si>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</si>
  <si>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</si>
  <si>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</si>
  <si>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</si>
  <si>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</si>
  <si>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</si>
  <si>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</si>
  <si>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</si>
  <si>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</si>
  <si>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</si>
  <si>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</si>
  <si>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</si>
  <si>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</si>
  <si>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</si>
  <si>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</si>
  <si>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</si>
  <si>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</si>
  <si>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</si>
  <si>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</si>
  <si>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</si>
  <si>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</si>
  <si>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</si>
  <si>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</si>
  <si>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</si>
  <si>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</si>
  <si>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</si>
  <si>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</si>
  <si>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</si>
  <si>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</si>
  <si>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</si>
  <si>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</si>
  <si>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</si>
  <si>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</si>
  <si>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</si>
  <si>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</si>
  <si>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</si>
  <si>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</si>
  <si>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</si>
  <si>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</si>
  <si>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</si>
  <si>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</si>
  <si>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</si>
  <si>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</si>
  <si>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</si>
  <si>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</si>
  <si>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</si>
  <si>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</si>
  <si>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</si>
  <si>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</si>
  <si>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</si>
  <si>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</si>
  <si>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</si>
  <si>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</si>
  <si>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</si>
  <si>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</si>
  <si>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</si>
  <si>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</si>
  <si>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</si>
  <si>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</si>
  <si>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</si>
  <si>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</si>
  <si>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</si>
  <si>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</si>
  <si>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</si>
  <si>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</si>
  <si>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</si>
  <si>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</si>
  <si>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</si>
  <si>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</si>
  <si>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</si>
  <si>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</si>
  <si>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</si>
  <si>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</si>
  <si>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</si>
  <si>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</si>
  <si>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</si>
  <si>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</si>
  <si>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</si>
  <si>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</si>
  <si>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</si>
  <si>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</si>
  <si>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</si>
  <si>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</si>
  <si>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</si>
  <si>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</si>
  <si>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</si>
  <si>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</si>
  <si>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</si>
  <si>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</si>
  <si>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</si>
  <si>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</si>
  <si>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</si>
  <si>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</si>
  <si>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</si>
  <si>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</si>
  <si>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</si>
  <si>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</si>
  <si>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</si>
  <si>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</si>
  <si>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</si>
  <si>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</si>
  <si>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</si>
  <si>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</si>
  <si>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</si>
  <si>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</si>
  <si>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</si>
  <si>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</si>
  <si>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</si>
  <si>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</si>
  <si>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</si>
  <si>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</si>
  <si>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</si>
  <si>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</si>
  <si>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</si>
  <si>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</si>
  <si>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</si>
  <si>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</si>
  <si>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</si>
  <si>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</si>
  <si>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</si>
  <si>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</si>
  <si>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</si>
  <si>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</si>
  <si>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</si>
  <si>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</si>
  <si>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</si>
  <si>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</si>
  <si>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</si>
  <si>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</si>
  <si>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</si>
  <si>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</si>
  <si>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</si>
  <si>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</si>
  <si>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</si>
  <si>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</si>
  <si>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</si>
  <si>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</si>
  <si>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</si>
  <si>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</si>
  <si>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</si>
  <si>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</si>
  <si>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</si>
  <si>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</si>
  <si>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</si>
  <si>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</si>
  <si>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</si>
  <si>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</si>
  <si>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</si>
  <si>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</si>
  <si>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</si>
  <si>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</si>
  <si>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</si>
  <si>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</si>
  <si>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</si>
  <si>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</si>
  <si>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</si>
  <si>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</si>
  <si>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</si>
  <si>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</si>
  <si>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</si>
  <si>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</si>
  <si>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</si>
  <si>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</si>
  <si>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</si>
  <si>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</si>
  <si>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</si>
  <si>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</si>
  <si>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</si>
  <si>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</si>
  <si>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</si>
  <si>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</si>
  <si>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</si>
  <si>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</si>
  <si>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</si>
  <si>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</si>
  <si>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</si>
  <si>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</si>
  <si>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</si>
  <si>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</si>
  <si>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</si>
  <si>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</si>
  <si>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</si>
  <si>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</si>
  <si>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</si>
  <si>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</si>
  <si>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</si>
  <si>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</si>
  <si>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</si>
  <si>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</si>
  <si>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</si>
  <si>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</si>
  <si>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</si>
  <si>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</si>
  <si>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</si>
  <si>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</si>
  <si>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</si>
  <si>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</si>
  <si>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</si>
  <si>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</si>
  <si>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</si>
  <si>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</si>
  <si>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</si>
  <si>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</si>
  <si>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</si>
  <si>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</si>
  <si>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</si>
  <si>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</si>
  <si>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</si>
  <si>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</si>
  <si>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</si>
  <si>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</si>
  <si>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</si>
  <si>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</si>
  <si>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</si>
  <si>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</si>
  <si>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</si>
  <si>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</si>
  <si>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</si>
  <si>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</si>
  <si>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</si>
  <si>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</si>
  <si>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</si>
  <si>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</si>
  <si>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</si>
  <si>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</si>
  <si>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</si>
  <si>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</si>
  <si>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</si>
  <si>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</si>
  <si>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</si>
  <si>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</si>
  <si>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</si>
  <si>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</si>
  <si>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</si>
  <si>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</si>
  <si>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</si>
  <si>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</si>
  <si>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</si>
  <si>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</si>
  <si>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</si>
  <si>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</si>
  <si>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</si>
  <si>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</si>
  <si>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</si>
  <si>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</si>
  <si>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</si>
  <si>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</si>
  <si>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</si>
  <si>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</si>
  <si>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</si>
  <si>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</si>
  <si>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</si>
  <si>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</si>
  <si>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</si>
  <si>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</si>
  <si>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</si>
  <si>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</si>
  <si>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</si>
  <si>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</si>
  <si>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</si>
  <si>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</si>
  <si>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</si>
  <si>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</si>
  <si>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</si>
  <si>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</si>
  <si>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</si>
  <si>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</si>
  <si>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</si>
  <si>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</si>
  <si>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</si>
  <si>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</si>
  <si>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</si>
  <si>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</si>
  <si>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</si>
  <si>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</si>
  <si>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</si>
  <si>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</si>
  <si>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</si>
  <si>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</si>
  <si>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</si>
  <si>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</si>
  <si>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</si>
  <si>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</si>
  <si>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</si>
  <si>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</si>
  <si>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</si>
  <si>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</si>
  <si>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</si>
  <si>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</si>
  <si>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</si>
  <si>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</si>
  <si>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</si>
  <si>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 xml:space="preserve"> Orders</t>
  </si>
  <si>
    <t>Qty</t>
  </si>
  <si>
    <t>Avg.Rating</t>
  </si>
  <si>
    <t>Avg.Days</t>
  </si>
  <si>
    <t>Row Labels</t>
  </si>
  <si>
    <t>Grand Total</t>
  </si>
  <si>
    <t>Column Labels</t>
  </si>
  <si>
    <t>Female</t>
  </si>
  <si>
    <t>Male</t>
  </si>
  <si>
    <t>Other</t>
  </si>
  <si>
    <t>Unknown</t>
  </si>
  <si>
    <t>Order Qty analaysis</t>
  </si>
  <si>
    <t>6 to 10</t>
  </si>
  <si>
    <t>more than 10</t>
  </si>
  <si>
    <t>shipment Duration Analysis</t>
  </si>
  <si>
    <t>Jan</t>
  </si>
  <si>
    <t>Feb</t>
  </si>
  <si>
    <t>Mar</t>
  </si>
  <si>
    <t>Cistomer Satisfication Analysis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</si>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</sst>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9" fontId="0" fillId="0" borderId="0" xfId="0" applyNumberFormat="1"/>
    <xf numFmtId="0" fontId="1" fillId="3" borderId="2" xfId="0" applyFont="1" applyFill="1" applyBorder="1"/>
    <xf numFmtId="0" fontId="1" fillId="3" borderId="1" xfId="0" applyFont="1" applyFill="1" applyBorder="1"/>
    <xf numFmtId="0" fontId="1" fillId="0" borderId="0" xfId="0" applyFont="1"/>
    <xf numFmtId="0" fontId="1" fillId="0" borderId="1" xfId="0" applyFont="1" applyBorder="1"/>
    <xf numFmtId="165" fontId="0" fillId="0" borderId="0" xfId="0" applyNumberFormat="1" applyAlignment="1">
      <alignment horizontal="center" vertical="center"/>
    </xf>
    <xf numFmtId="165" fontId="0" fillId="0" borderId="0" xfId="0" applyNumberFormat="1"/>
    <xf numFmtId="0" fontId="0" fillId="0" borderId="0" xfId="0" applyNumberFormat="1"/>
  </cellXfs>
  <cellStyles count="1">
    <cellStyle name="Normal" xfId="0" builtinId="0"/>
  </cellStyles>
  <dxfs count="8">
    <dxf>
      <numFmt numFmtId="13" formatCode="0%"/>
    </dxf>
    <dxf>
      <numFmt numFmtId="13" formatCode="0%"/>
    </dxf>
    <dxf>
      <numFmt numFmtId="13" formatCode="0%"/>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1561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[Project-ecommence.xlsx]Cal!Pvttable1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Last 13 weeks Trends- Qty 7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6331658960368"/>
          <c:y val="0.15404174443093679"/>
          <c:w val="0.76077931079728112"/>
          <c:h val="0.74728972036473362"/>
        </c:manualLayout>
      </c:layout>
      <c:lineChart>
        <c:grouping val="stacked"/>
        <c:varyColors val="0"/>
        <c:ser>
          <c:idx val="0"/>
          <c:order val="0"/>
          <c:tx>
            <c:strRef>
              <c:f>Cal!$B$12</c:f>
              <c:strCache>
                <c:ptCount val="1"/>
                <c:pt idx="0">
                  <c:v>Sum of Quantity</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Cal!$A$13:$A$26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Cal!$B$13:$B$26</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2BB-481C-AC31-057F008D1305}"/>
            </c:ext>
          </c:extLst>
        </c:ser>
        <c:dLbls>
          <c:showLegendKey val="0"/>
          <c:showVal val="0"/>
          <c:showCatName val="0"/>
          <c:showSerName val="0"/>
          <c:showPercent val="0"/>
          <c:showBubbleSize val="0"/>
        </c:dLbls>
        <c:marker val="1"/>
        <c:smooth val="0"/>
        <c:axId val="918257824"/>
        <c:axId val="918259264"/>
      </c:lineChart>
      <c:lineChart>
        <c:grouping val="stacked"/>
        <c:varyColors val="0"/>
        <c:ser>
          <c:idx val="1"/>
          <c:order val="1"/>
          <c:tx>
            <c:strRef>
              <c:f>Cal!$C$12</c:f>
              <c:strCache>
                <c:ptCount val="1"/>
                <c:pt idx="0">
                  <c:v>Sum of Amount</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Cal!$A$13:$A$26</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Cal!$C$13:$C$26</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2BB-481C-AC31-057F008D1305}"/>
            </c:ext>
          </c:extLst>
        </c:ser>
        <c:dLbls>
          <c:showLegendKey val="0"/>
          <c:showVal val="0"/>
          <c:showCatName val="0"/>
          <c:showSerName val="0"/>
          <c:showPercent val="0"/>
          <c:showBubbleSize val="0"/>
        </c:dLbls>
        <c:marker val="1"/>
        <c:smooth val="0"/>
        <c:axId val="719447248"/>
        <c:axId val="719448208"/>
      </c:lineChart>
      <c:catAx>
        <c:axId val="9182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59264"/>
        <c:crosses val="autoZero"/>
        <c:auto val="1"/>
        <c:lblAlgn val="ctr"/>
        <c:lblOffset val="100"/>
        <c:noMultiLvlLbl val="0"/>
      </c:catAx>
      <c:valAx>
        <c:axId val="91825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257824"/>
        <c:crosses val="autoZero"/>
        <c:crossBetween val="between"/>
      </c:valAx>
      <c:valAx>
        <c:axId val="719448208"/>
        <c:scaling>
          <c:orientation val="minMax"/>
        </c:scaling>
        <c:delete val="0"/>
        <c:axPos val="r"/>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447248"/>
        <c:crosses val="max"/>
        <c:crossBetween val="between"/>
      </c:valAx>
      <c:catAx>
        <c:axId val="719447248"/>
        <c:scaling>
          <c:orientation val="minMax"/>
        </c:scaling>
        <c:delete val="1"/>
        <c:axPos val="b"/>
        <c:numFmt formatCode="General" sourceLinked="1"/>
        <c:majorTickMark val="none"/>
        <c:minorTickMark val="none"/>
        <c:tickLblPos val="nextTo"/>
        <c:crossAx val="71944820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0" i="0" u="none" strike="noStrike" kern="1200" baseline="0">
                <a:solidFill>
                  <a:schemeClr val="dk1">
                    <a:lumMod val="65000"/>
                    <a:lumOff val="35000"/>
                  </a:schemeClr>
                </a:solidFill>
                <a:effectLst/>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800"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924614444911646E-2"/>
          <c:y val="0.19538142542279044"/>
          <c:w val="0.89811327667134577"/>
          <c:h val="0.63314714601438238"/>
        </c:manualLayout>
      </c:layout>
      <c:barChart>
        <c:barDir val="col"/>
        <c:grouping val="clustered"/>
        <c:varyColors val="0"/>
        <c:ser>
          <c:idx val="0"/>
          <c:order val="0"/>
          <c:tx>
            <c:v>Total</c:v>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5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7"/>
              <c:pt idx="0">
                <c:v>1</c:v>
              </c:pt>
              <c:pt idx="1">
                <c:v>2</c:v>
              </c:pt>
              <c:pt idx="2">
                <c:v>3</c:v>
              </c:pt>
              <c:pt idx="3">
                <c:v>4</c:v>
              </c:pt>
              <c:pt idx="4">
                <c:v>5</c:v>
              </c:pt>
              <c:pt idx="5">
                <c:v>6 to 10</c:v>
              </c:pt>
              <c:pt idx="6">
                <c:v>more than 10</c:v>
              </c:pt>
            </c:strLit>
          </c:cat>
          <c:val>
            <c:numLit>
              <c:formatCode>General</c:formatCode>
              <c:ptCount val="7"/>
              <c:pt idx="0">
                <c:v>397</c:v>
              </c:pt>
              <c:pt idx="1">
                <c:v>540</c:v>
              </c:pt>
              <c:pt idx="2">
                <c:v>375</c:v>
              </c:pt>
              <c:pt idx="3">
                <c:v>246</c:v>
              </c:pt>
              <c:pt idx="4">
                <c:v>195</c:v>
              </c:pt>
              <c:pt idx="5">
                <c:v>414</c:v>
              </c:pt>
              <c:pt idx="6">
                <c:v>233</c:v>
              </c:pt>
            </c:numLit>
          </c:val>
          <c:extLst>
            <c:ext xmlns:c16="http://schemas.microsoft.com/office/drawing/2014/chart" uri="{C3380CC4-5D6E-409C-BE32-E72D297353CC}">
              <c16:uniqueId val="{00000000-D0B4-4304-992C-D00E1FF84D7A}"/>
            </c:ext>
          </c:extLst>
        </c:ser>
        <c:dLbls>
          <c:dLblPos val="inEnd"/>
          <c:showLegendKey val="0"/>
          <c:showVal val="1"/>
          <c:showCatName val="0"/>
          <c:showSerName val="0"/>
          <c:showPercent val="0"/>
          <c:showBubbleSize val="0"/>
        </c:dLbls>
        <c:gapWidth val="41"/>
        <c:axId val="842492592"/>
        <c:axId val="842487312"/>
      </c:barChart>
      <c:catAx>
        <c:axId val="84249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effectLst/>
                <a:latin typeface="+mn-lt"/>
                <a:ea typeface="+mn-ea"/>
                <a:cs typeface="+mn-cs"/>
              </a:defRPr>
            </a:pPr>
            <a:endParaRPr lang="en-US"/>
          </a:p>
        </c:txPr>
        <c:crossAx val="842487312"/>
        <c:crosses val="autoZero"/>
        <c:auto val="1"/>
        <c:lblAlgn val="ctr"/>
        <c:lblOffset val="100"/>
        <c:noMultiLvlLbl val="0"/>
      </c:catAx>
      <c:valAx>
        <c:axId val="842487312"/>
        <c:scaling>
          <c:orientation val="minMax"/>
        </c:scaling>
        <c:delete val="1"/>
        <c:axPos val="l"/>
        <c:numFmt formatCode="General" sourceLinked="1"/>
        <c:majorTickMark val="none"/>
        <c:minorTickMark val="none"/>
        <c:tickLblPos val="nextTo"/>
        <c:crossAx val="84249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sz="1500" b="0"/>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[Project-ecommence.xlsx]Column!PivotTable5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Which Product</a:t>
            </a:r>
            <a:r>
              <a:rPr lang="en-IN" b="1" baseline="0">
                <a:solidFill>
                  <a:schemeClr val="tx1">
                    <a:lumMod val="95000"/>
                    <a:lumOff val="5000"/>
                  </a:schemeClr>
                </a:solidFill>
              </a:rPr>
              <a:t> are Popular? </a:t>
            </a:r>
            <a:r>
              <a:rPr lang="en-IN" baseline="0">
                <a:solidFill>
                  <a:schemeClr val="tx1">
                    <a:lumMod val="75000"/>
                    <a:lumOff val="25000"/>
                  </a:schemeClr>
                </a:solidFill>
              </a:rPr>
              <a:t>Breakdown  by  Gender</a:t>
            </a:r>
            <a:endParaRPr lang="en-IN">
              <a:solidFill>
                <a:schemeClr val="tx1">
                  <a:lumMod val="75000"/>
                  <a:lumOff val="25000"/>
                </a:schemeClr>
              </a:solidFill>
            </a:endParaRPr>
          </a:p>
        </c:rich>
      </c:tx>
      <c:layout>
        <c:manualLayout>
          <c:xMode val="edge"/>
          <c:yMode val="edge"/>
          <c:x val="2.7753560196293735E-2"/>
          <c:y val="1.9938082050702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Column!$B$3:$B$4</c:f>
              <c:strCache>
                <c:ptCount val="1"/>
                <c:pt idx="0">
                  <c:v>Female</c:v>
                </c:pt>
              </c:strCache>
            </c:strRef>
          </c:tx>
          <c:spPr>
            <a:solidFill>
              <a:schemeClr val="accent6"/>
            </a:solidFill>
            <a:ln>
              <a:noFill/>
            </a:ln>
            <a:effectLst/>
          </c:spPr>
          <c:invertIfNegative val="0"/>
          <c:cat>
            <c:strRef>
              <c:f>Column!$A$5:$A$25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Column!$B$5:$B$25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150-4F60-B105-1F9DA22F8E5A}"/>
            </c:ext>
          </c:extLst>
        </c:ser>
        <c:ser>
          <c:idx val="1"/>
          <c:order val="1"/>
          <c:tx>
            <c:strRef>
              <c:f>Column!$C$3:$C$4</c:f>
              <c:strCache>
                <c:ptCount val="1"/>
                <c:pt idx="0">
                  <c:v>Male</c:v>
                </c:pt>
              </c:strCache>
            </c:strRef>
          </c:tx>
          <c:spPr>
            <a:solidFill>
              <a:schemeClr val="accent5"/>
            </a:solidFill>
            <a:ln>
              <a:noFill/>
            </a:ln>
            <a:effectLst/>
          </c:spPr>
          <c:invertIfNegative val="0"/>
          <c:cat>
            <c:strRef>
              <c:f>Column!$A$5:$A$25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Column!$C$5:$C$25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0015-4A04-B264-5EBD7871CBDD}"/>
            </c:ext>
          </c:extLst>
        </c:ser>
        <c:ser>
          <c:idx val="2"/>
          <c:order val="2"/>
          <c:tx>
            <c:strRef>
              <c:f>Column!$D$3:$D$4</c:f>
              <c:strCache>
                <c:ptCount val="1"/>
                <c:pt idx="0">
                  <c:v>Other</c:v>
                </c:pt>
              </c:strCache>
            </c:strRef>
          </c:tx>
          <c:spPr>
            <a:solidFill>
              <a:schemeClr val="accent4"/>
            </a:solidFill>
            <a:ln>
              <a:noFill/>
            </a:ln>
            <a:effectLst/>
          </c:spPr>
          <c:invertIfNegative val="0"/>
          <c:cat>
            <c:strRef>
              <c:f>Column!$A$5:$A$25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Column!$D$5:$D$25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0015-4A04-B264-5EBD7871CBDD}"/>
            </c:ext>
          </c:extLst>
        </c:ser>
        <c:ser>
          <c:idx val="3"/>
          <c:order val="3"/>
          <c:tx>
            <c:strRef>
              <c:f>Column!$E$3:$E$4</c:f>
              <c:strCache>
                <c:ptCount val="1"/>
                <c:pt idx="0">
                  <c:v>Unknown</c:v>
                </c:pt>
              </c:strCache>
            </c:strRef>
          </c:tx>
          <c:spPr>
            <a:solidFill>
              <a:schemeClr val="accent6">
                <a:lumMod val="60000"/>
              </a:schemeClr>
            </a:solidFill>
            <a:ln>
              <a:noFill/>
            </a:ln>
            <a:effectLst/>
          </c:spPr>
          <c:invertIfNegative val="0"/>
          <c:cat>
            <c:strRef>
              <c:f>Column!$A$5:$A$25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Column!$E$5:$E$25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0015-4A04-B264-5EBD7871CBDD}"/>
            </c:ext>
          </c:extLst>
        </c:ser>
        <c:dLbls>
          <c:showLegendKey val="0"/>
          <c:showVal val="0"/>
          <c:showCatName val="0"/>
          <c:showSerName val="0"/>
          <c:showPercent val="0"/>
          <c:showBubbleSize val="0"/>
        </c:dLbls>
        <c:gapWidth val="10"/>
        <c:overlap val="100"/>
        <c:axId val="105051823"/>
        <c:axId val="105059023"/>
      </c:barChart>
      <c:catAx>
        <c:axId val="10505182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9023"/>
        <c:crosses val="autoZero"/>
        <c:auto val="1"/>
        <c:lblAlgn val="ctr"/>
        <c:lblOffset val="100"/>
        <c:noMultiLvlLbl val="0"/>
      </c:catAx>
      <c:valAx>
        <c:axId val="10505902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5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How Long</a:t>
            </a:r>
            <a:r>
              <a:rPr lang="en-IN" baseline="0"/>
              <a:t> we we take to ship?</a:t>
            </a:r>
            <a:endParaRPr lang="en-IN"/>
          </a:p>
        </c:rich>
      </c:tx>
      <c:layout>
        <c:manualLayout>
          <c:xMode val="edge"/>
          <c:yMode val="edge"/>
          <c:x val="0.45117823464359397"/>
          <c:y val="4.45161584307878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4754881449627"/>
          <c:y val="5.9569122931438755E-2"/>
          <c:w val="0.70253700306214217"/>
          <c:h val="0.79676047161859631"/>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Lit>
          </c:cat>
          <c:val>
            <c:numLit>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Lit>
          </c:val>
          <c:extLst>
            <c:ext xmlns:c16="http://schemas.microsoft.com/office/drawing/2014/chart" uri="{C3380CC4-5D6E-409C-BE32-E72D297353CC}">
              <c16:uniqueId val="{00000000-33F7-4B66-86AE-248112DB2BBE}"/>
            </c:ext>
          </c:extLst>
        </c:ser>
        <c:dLbls>
          <c:dLblPos val="outEnd"/>
          <c:showLegendKey val="0"/>
          <c:showVal val="1"/>
          <c:showCatName val="0"/>
          <c:showSerName val="0"/>
          <c:showPercent val="0"/>
          <c:showBubbleSize val="0"/>
        </c:dLbls>
        <c:gapWidth val="100"/>
        <c:overlap val="-24"/>
        <c:axId val="1289364752"/>
        <c:axId val="1289357072"/>
      </c:barChart>
      <c:catAx>
        <c:axId val="1289364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57072"/>
        <c:crosses val="autoZero"/>
        <c:auto val="1"/>
        <c:lblAlgn val="ctr"/>
        <c:lblOffset val="100"/>
        <c:noMultiLvlLbl val="0"/>
      </c:catAx>
      <c:valAx>
        <c:axId val="128935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36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b="1">
                <a:solidFill>
                  <a:schemeClr val="tx1">
                    <a:lumMod val="95000"/>
                    <a:lumOff val="5000"/>
                  </a:schemeClr>
                </a:solidFill>
              </a:rPr>
              <a:t>How</a:t>
            </a:r>
            <a:r>
              <a:rPr lang="en-IN" sz="1400" b="1" baseline="0">
                <a:solidFill>
                  <a:schemeClr val="tx1">
                    <a:lumMod val="95000"/>
                    <a:lumOff val="5000"/>
                  </a:schemeClr>
                </a:solidFill>
              </a:rPr>
              <a:t> Satisfied Are our Customers?</a:t>
            </a:r>
            <a:endParaRPr lang="en-IN" sz="14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tx1">
                <a:lumMod val="95000"/>
                <a:lumOff val="5000"/>
                <a:alpha val="90000"/>
              </a:schemeClr>
            </a:solid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1</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a:noFill/>
                    </a:ln>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Jan</c:v>
              </c:pt>
              <c:pt idx="1">
                <c:v>Feb</c:v>
              </c:pt>
              <c:pt idx="2">
                <c:v>Mar</c:v>
              </c:pt>
            </c:strLit>
          </c:cat>
          <c:val>
            <c:numLit>
              <c:formatCode>General</c:formatCode>
              <c:ptCount val="3"/>
              <c:pt idx="0">
                <c:v>7</c:v>
              </c:pt>
              <c:pt idx="1">
                <c:v>8</c:v>
              </c:pt>
              <c:pt idx="2">
                <c:v>6</c:v>
              </c:pt>
            </c:numLit>
          </c:val>
          <c:extLst>
            <c:ext xmlns:c16="http://schemas.microsoft.com/office/drawing/2014/chart" uri="{C3380CC4-5D6E-409C-BE32-E72D297353CC}">
              <c16:uniqueId val="{00000000-64D5-4A89-AFB5-8DDEC33216CB}"/>
            </c:ext>
          </c:extLst>
        </c:ser>
        <c:ser>
          <c:idx val="1"/>
          <c:order val="1"/>
          <c:tx>
            <c:v>2</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Jan</c:v>
              </c:pt>
              <c:pt idx="1">
                <c:v>Feb</c:v>
              </c:pt>
              <c:pt idx="2">
                <c:v>Mar</c:v>
              </c:pt>
            </c:strLit>
          </c:cat>
          <c:val>
            <c:numLit>
              <c:formatCode>General</c:formatCode>
              <c:ptCount val="3"/>
              <c:pt idx="0">
                <c:v>37</c:v>
              </c:pt>
              <c:pt idx="1">
                <c:v>51</c:v>
              </c:pt>
              <c:pt idx="2">
                <c:v>39</c:v>
              </c:pt>
            </c:numLit>
          </c:val>
          <c:extLst>
            <c:ext xmlns:c16="http://schemas.microsoft.com/office/drawing/2014/chart" uri="{C3380CC4-5D6E-409C-BE32-E72D297353CC}">
              <c16:uniqueId val="{00000001-64D5-4A89-AFB5-8DDEC33216CB}"/>
            </c:ext>
          </c:extLst>
        </c:ser>
        <c:ser>
          <c:idx val="2"/>
          <c:order val="2"/>
          <c:tx>
            <c:v>3</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Jan</c:v>
              </c:pt>
              <c:pt idx="1">
                <c:v>Feb</c:v>
              </c:pt>
              <c:pt idx="2">
                <c:v>Mar</c:v>
              </c:pt>
            </c:strLit>
          </c:cat>
          <c:val>
            <c:numLit>
              <c:formatCode>General</c:formatCode>
              <c:ptCount val="3"/>
              <c:pt idx="0">
                <c:v>150</c:v>
              </c:pt>
              <c:pt idx="1">
                <c:v>182</c:v>
              </c:pt>
              <c:pt idx="2">
                <c:v>163</c:v>
              </c:pt>
            </c:numLit>
          </c:val>
          <c:extLst>
            <c:ext xmlns:c16="http://schemas.microsoft.com/office/drawing/2014/chart" uri="{C3380CC4-5D6E-409C-BE32-E72D297353CC}">
              <c16:uniqueId val="{00000002-64D5-4A89-AFB5-8DDEC33216CB}"/>
            </c:ext>
          </c:extLst>
        </c:ser>
        <c:ser>
          <c:idx val="3"/>
          <c:order val="3"/>
          <c:tx>
            <c:v>4</c:v>
          </c:tx>
          <c:spPr>
            <a:solidFill>
              <a:schemeClr val="accent4"/>
            </a:solidFill>
            <a:ln>
              <a:solidFill>
                <a:schemeClr val="tx1">
                  <a:lumMod val="95000"/>
                  <a:lumOff val="5000"/>
                  <a:alpha val="9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Jan</c:v>
              </c:pt>
              <c:pt idx="1">
                <c:v>Feb</c:v>
              </c:pt>
              <c:pt idx="2">
                <c:v>Mar</c:v>
              </c:pt>
            </c:strLit>
          </c:cat>
          <c:val>
            <c:numLit>
              <c:formatCode>General</c:formatCode>
              <c:ptCount val="3"/>
              <c:pt idx="0">
                <c:v>312</c:v>
              </c:pt>
              <c:pt idx="1">
                <c:v>373</c:v>
              </c:pt>
              <c:pt idx="2">
                <c:v>351</c:v>
              </c:pt>
            </c:numLit>
          </c:val>
          <c:extLst>
            <c:ext xmlns:c16="http://schemas.microsoft.com/office/drawing/2014/chart" uri="{C3380CC4-5D6E-409C-BE32-E72D297353CC}">
              <c16:uniqueId val="{00000003-64D5-4A89-AFB5-8DDEC33216CB}"/>
            </c:ext>
          </c:extLst>
        </c:ser>
        <c:ser>
          <c:idx val="4"/>
          <c:order val="4"/>
          <c:tx>
            <c:v>5</c:v>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Jan</c:v>
              </c:pt>
              <c:pt idx="1">
                <c:v>Feb</c:v>
              </c:pt>
              <c:pt idx="2">
                <c:v>Mar</c:v>
              </c:pt>
            </c:strLit>
          </c:cat>
          <c:val>
            <c:numLit>
              <c:formatCode>General</c:formatCode>
              <c:ptCount val="3"/>
              <c:pt idx="0">
                <c:v>224</c:v>
              </c:pt>
              <c:pt idx="1">
                <c:v>247</c:v>
              </c:pt>
              <c:pt idx="2">
                <c:v>250</c:v>
              </c:pt>
            </c:numLit>
          </c:val>
          <c:extLst>
            <c:ext xmlns:c16="http://schemas.microsoft.com/office/drawing/2014/chart" uri="{C3380CC4-5D6E-409C-BE32-E72D297353CC}">
              <c16:uniqueId val="{00000004-64D5-4A89-AFB5-8DDEC33216CB}"/>
            </c:ext>
          </c:extLst>
        </c:ser>
        <c:dLbls>
          <c:dLblPos val="outEnd"/>
          <c:showLegendKey val="0"/>
          <c:showVal val="1"/>
          <c:showCatName val="0"/>
          <c:showSerName val="0"/>
          <c:showPercent val="0"/>
          <c:showBubbleSize val="0"/>
        </c:dLbls>
        <c:gapWidth val="44"/>
        <c:overlap val="-90"/>
        <c:axId val="981060896"/>
        <c:axId val="981046016"/>
      </c:barChart>
      <c:catAx>
        <c:axId val="98106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81046016"/>
        <c:crosses val="autoZero"/>
        <c:auto val="1"/>
        <c:lblAlgn val="ctr"/>
        <c:lblOffset val="100"/>
        <c:noMultiLvlLbl val="0"/>
      </c:catAx>
      <c:valAx>
        <c:axId val="981046016"/>
        <c:scaling>
          <c:orientation val="minMax"/>
        </c:scaling>
        <c:delete val="1"/>
        <c:axPos val="l"/>
        <c:numFmt formatCode="General" sourceLinked="1"/>
        <c:majorTickMark val="none"/>
        <c:minorTickMark val="none"/>
        <c:tickLblPos val="nextTo"/>
        <c:crossAx val="98106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[Project-ecommence.xlsx]Column!PivotTable6</c:name>
    <c:fmtId val="6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844330629263187E-2"/>
              <c:y val="0.1930483256477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56662398597367E-2"/>
              <c:y val="0.1930483256477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699871957921024E-2"/>
              <c:y val="-6.142446725156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98878930060526E-2"/>
              <c:y val="-0.15794863007546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844330629263187E-2"/>
              <c:y val="0.1930483256477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56662398597367E-2"/>
              <c:y val="0.1930483256477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699871957921024E-2"/>
              <c:y val="-6.142446725156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98878930060526E-2"/>
              <c:y val="-0.15794863007546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844330629263187E-2"/>
              <c:y val="0.1930483256477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56662398597367E-2"/>
              <c:y val="0.193048325647789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699871957921024E-2"/>
              <c:y val="-6.1424467251569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98878930060526E-2"/>
              <c:y val="-0.157948630075464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Column!$I$3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4F-4FF6-B736-4DAA6E80F07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4F-4FF6-B736-4DAA6E80F07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94F-4FF6-B736-4DAA6E80F07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94F-4FF6-B736-4DAA6E80F076}"/>
              </c:ext>
            </c:extLst>
          </c:dPt>
          <c:dLbls>
            <c:dLbl>
              <c:idx val="0"/>
              <c:layout>
                <c:manualLayout>
                  <c:x val="5.4844330629263187E-2"/>
                  <c:y val="0.193048325647789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4F-4FF6-B736-4DAA6E80F076}"/>
                </c:ext>
              </c:extLst>
            </c:dLbl>
            <c:dLbl>
              <c:idx val="1"/>
              <c:layout>
                <c:manualLayout>
                  <c:x val="-2.056662398597367E-2"/>
                  <c:y val="0.193048325647789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4F-4FF6-B736-4DAA6E80F076}"/>
                </c:ext>
              </c:extLst>
            </c:dLbl>
            <c:dLbl>
              <c:idx val="2"/>
              <c:layout>
                <c:manualLayout>
                  <c:x val="-6.1699871957921024E-2"/>
                  <c:y val="-6.142446725156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4F-4FF6-B736-4DAA6E80F076}"/>
                </c:ext>
              </c:extLst>
            </c:dLbl>
            <c:dLbl>
              <c:idx val="3"/>
              <c:layout>
                <c:manualLayout>
                  <c:x val="4.798878930060526E-2"/>
                  <c:y val="-0.157948630075464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4F-4FF6-B736-4DAA6E80F0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Column!$H$4:$H$8</c:f>
              <c:strCache>
                <c:ptCount val="4"/>
                <c:pt idx="0">
                  <c:v>Female</c:v>
                </c:pt>
                <c:pt idx="1">
                  <c:v>Male</c:v>
                </c:pt>
                <c:pt idx="2">
                  <c:v>Other</c:v>
                </c:pt>
                <c:pt idx="3">
                  <c:v>Unknown</c:v>
                </c:pt>
              </c:strCache>
            </c:strRef>
          </c:cat>
          <c:val>
            <c:numRef>
              <c:f>Column!$I$4:$I$8</c:f>
              <c:numCache>
                <c:formatCode>0%</c:formatCode>
                <c:ptCount val="4"/>
                <c:pt idx="0">
                  <c:v>0.52279736600816873</c:v>
                </c:pt>
                <c:pt idx="1">
                  <c:v>0.38943069100608485</c:v>
                </c:pt>
                <c:pt idx="2">
                  <c:v>2.6423272484787864E-2</c:v>
                </c:pt>
                <c:pt idx="3">
                  <c:v>6.1348670500958574E-2</c:v>
                </c:pt>
              </c:numCache>
            </c:numRef>
          </c:val>
          <c:extLst>
            <c:ext xmlns:c16="http://schemas.microsoft.com/office/drawing/2014/chart" uri="{C3380CC4-5D6E-409C-BE32-E72D297353CC}">
              <c16:uniqueId val="{00000008-094F-4FF6-B736-4DAA6E80F07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lumMod val="95000"/>
                  <a:lumOff val="5000"/>
                </a:schemeClr>
              </a:solidFill>
              <a:latin typeface="Aptos Narrow" panose="02110004020202020204"/>
            </a:rPr>
            <a:t>Where do Our Customer Live?</a:t>
          </a:r>
        </a:p>
      </cx:txPr>
    </cx:title>
    <cx:plotArea>
      <cx:plotAreaRegion>
        <cx:series layoutId="regionMap" uniqueId="{32F13565-00C1-4F59-A036-241E72CE1998}">
          <cx:tx>
            <cx:txData>
              <cx:f>_xlchart.v5.2</cx:f>
              <cx:v>Sum of Quantity</cx:v>
            </cx:txData>
          </cx:tx>
          <cx:dataId val="0"/>
          <cx:layoutPr>
            <cx:geography cultureLanguage="en-US" cultureRegion="IN" attribution="Powered by Bing">
              <cx:geoCache provider="{E9337A44-BEBE-4D9F-B70C-5C5E7DAFC167}">
                <cx:binary>3H1pc+O20u5fmZrPlw4BkARw6uRUBaQ27zOeNV9Yii1zBxeA66+/rbEnx6LkeelbUdV9pSSVmqEa
auJBN3pD49/33b/u0826etdlqVT/uu9+fx9qXfzrt9/UfbjJ1uosi+6rXOWP+uw+z37LHx+j+81v
D9W6jWTwGzaR9dt9uK70pnv/n3/DaMEmv8zv1zrK5Yd6U/UfN6pOtfrFs4OP3q0fskh6kdJVdK/R
7+/ddRo95pWM1u93n+Hf39+tpV6/E+vqr3W1fufmtdT9+3cbqSPdf+qLze/vd0bD79/9Nv7RPQbf
pfAOun4AYmKdWdhkDuWIP33ev0tzGTw/NhDiZw5nxELE+fn86cev1xnQv5m9H8ytHx6qjVLwsj/+
/9owO28G0/TH1Om5307TFp8AoPr9/WcZ6c3Duzu91hv1/l2k8h/zWPVuvp2Dz3c/Ju23XYT/8+/R
X8A0jv7mxSIYz/n/9GgX5/9hDfyRFpHcHAF8BtgS20G29YQt2wefwse2qfVzzT3BPp2jw3iP6CcA
PaI4OYRBmh6OId/0jJkWw8whTxDTEcQYn2GKLeqA5ngp2H+kkzl6DeLdASZhvEtyYiCDrnx3BSoo
P4Ik0zOLWZSCNL8OM2bI4hbaxflNTB1Gen+ICVjvE50Y2n9k64e8OgLU7IyAuJqYgU7e2aqxeUYp
xpyY3Nx+RkhPZ+gwzCP6CRiPKE4M4KtcHkOS2RmG/ZY57EmQ+Vhhg0GGMWOcmnxXkqfycxjdHeoJ
2O58/8SQXWXFporW6RGEF59RjpltEfRDRE0ykmFkn9mObdsIJPyADL+Fs8M4740wAes9mhPDe5Fu
pDwC2PzMxqaNOHZGKIPRhThDlNgjq2syJ4fB3SWfgOwuwYnBKmqtj+E1AawIE8t8zWvC6My2LQch
PNqBJzN0GN1d8gno7hKcGLoQNFk3m2qtjiC4DMTTwQhT+qSlQUrHlpbDTA6LACT7pdf0JqYOo7w/
xASk94lODO0vMMv1kQJgmJmMmIS+GgMBkxqZjgnRkZdYv4Glw0iPB5iA85jkxFAGpxCCnW5VD0cQ
aueMUwtZJnoOZI6DXbApg1PFTJOPhPptXB3G+sAYE+A+QHViiC/r7K88fdD/PN4WeMPMQZa1b31Z
Z8hBxISo2JPI78r1W1g6DPbeCBOg3qM5MaDdPK3VMQKc4A5vd2IIYr+yV4NYg353uGXv4jydo8Mo
j+gnYDyiODGEb9P1/eY4AS+IdnBksaew1p7PDPa2SbceNX4OmeziPJ2vwziP6CfgPKI4MZwv10pt
juAug8K2IBPFOH4S5H2czTMHHluQrdxFeDpHhxEe0U9AeERxYgi7OWRPt7paba2xfzzlzM5MBDsv
ec3i3kZHiMVsikYW91v5Ooz2wVEmYH6Q7sSQ9zbpu+scKh7+edgtdEZtSFHhLfbbzziwjS3YyS0C
mchRUOxNTB3GfH+ICYDvE50Y2nd5uj5aDgP2a0rJkyqHONhu/ARsMosz2xzHT6ZzdBjnEf0EkEcU
J4bwbVpDndM/L8yEn3HiUBuT57KhPWE2z2Cj5jYkpHf36ukcHUZ4RD8B4RHFiSE8S995eQWp5iOA
zM4o5g6A/KSwOSQcd8UYXGy+Ncztg8mqN7F2GO39ISYAvk90Yph/2oTr7AiWGVjgkHd0TBu/Ugy4
LRaCUkDIbTzZ6KP8xnS+DqM9op8A9YjixHCeQ5HkUfZn54wSBGlmqO58+owEG2oMKLPhHzTS3tM5
OozwiH4CwiOKE0MYArzvLutIvbv5K1LFMXS4fYYZdhBsxq+YYuBUg/aGZOWonOT/gbXDmL820ATw
XyM9sVVwlT/k9//8/g0el8VNsMF+Zjz2yhDMM9vCkMZGUIbyMrU1maHDiO+ST8B5l+DE0F3J/hiC
7UBhL4b6Evpcuz02ztA2ic0dh7FRFGUqP4ex3aGeAO3O908M2bv1fQUVy1IfA192ZlOozge9/bRF
73lYW+ne/gOVKNvPyBZ7G2+HsT4wxgTED1CdGO4Xm+oI8W9inxH6o6zoyZvaIrrjboFVtg2cIoJH
8e+p/BxGeYd6Ar473z8xZO+2JWPHyGFxCGljDCVFzxb3XvEBOnOwDdnqveKDyRwdRnf0RhPwHVGc
GMIXcLTvGAEx5wzEEg7SWM8HMPa2YzhHB89gAYyFdypDh/HdfZ8J8O4SnBi6l+vkCKkLiHZCYgJB
xf1zPHuvHhCfcWQjh9FR6dBUfg5ju0M9Adqd758Ysnfh+ijZSIh5welGhzDyWq0nPiMMmQy86F0n
aTpHh9Ed0U/Ad0RxYghf5urdHzLYpJtj6GfrDMKamLCf+nm8AYO7hC0CJ6tAzA+Y029k7jDihwaZ
APshshPD/mpT3cMJbfcfrzWgZ8R0uPP3caox7HBmzmKIA+oHvajpfB1GfEQ/AewRxanhvH6Akv0j
4AzFvQ6G4zT0uQpw7DsBzqYDzrSFRmHOq8kcvYLwLv0UhHcpTgxhCNlui4bS43SrAHEGFQ1m2HMN
yZ44ozOIdyHLHhd7vpGtw1gfGmQC4IfITgz1q3UVHSMkQrc1+zYI9XMKeg9vfGYTtG1fAk92IthT
GTqM9O77TMB4l+DE0L2LVBL1ef3P6+1tURhBNtjWP2sMRjEvyDg70KHEBuW9C/BbeDqM8d4IE2De
ozkxpG+qNVjg/zzOhEClCBSKMOe1TjPQp8SGxgXOOI49naPDKI/oJ2A8ojgxhLeKqsiPchLjRw8S
sMDYcwH32AaD+DV3LMowBFJ+fHYl+i2cHcZ6b4QJaO/RnBjen2o4eJMdpXsUbM4Mcwti1j885r18
BdjchGGEGB7p7rfwdBjpvREmIL1Hc3JIg9F9DN0NoW1ibiu+XsF525GEb81uew/nqRy9hvIO/SSM
dyhODGFoYCcjla7rYwTIKOQnTOhI4bwW44ZTVuY2REZHpvbbuDqM9IExJqB9gOrUEIf6sDnYZPeR
us9/bpf/RNtHCgV+pklBap+24nG6Cuxu6AsJljkZxUvAmf0vR1MMxVcAPzjMFMwPEp4Y7Nfr4hhB
Mghxc0hRQg7yacMGdb1TYLAt74XzdSZYcD/X2lO7x6n8HMZ6h3oCxDvfPzFkrzYSav2io1T1Qo3B
1rui9Bnesf2NCRywog4h26NXO8GStzB1GOP995oA9D7RqaENByk31aafoiff2LfXOXOosz1g9Zy2
3JNlKCixHUhsjht7QuO2yTy9gvV4hClQj2lODOnrTbM+Sv9WsK0dTKE/zXNi4wDOJlR3QxHvKD09
naPDKI/oJ2A8ojgxhD9G0G1KRQ/H8LAIeNKmTchz4d+eJ40g7wG9qKB2aGSNvYmpwzjvDzEB6n2i
E0N7a+aKDfQNP0ZpL5Ru21DsB/nKV4xvKO01sQnNa0Yy/TauDuN9YIwJgB+gOknEK7muHo5jnkHX
IehDgxgEU358xpochByiaSa0Otm1zp6m/i2M/Qr4vXEmg79HeYILwIs2wTEkHtq+IkhjQuvXkcsF
oCMoPoNV8awL9rGfzNPrsO8OMRHxXaITBPs8X5f1sdLWgLaFIYRyUNShYxHmUCvM+ZNVB57aS39s
K/FvYO513MeDTER+THZq2Eeb6ihFSNAY1jEh5cGeaskONTCCh3DbCnS+2H7GsE/m6xXEd+mngL1L
cWo4Q4P2YxyTJ+zMItyBUNprvvcPde9YUG42EuzJHL2C8C79FIR3KU4M4U9QdQT3IP3z4ZVt80g4
zwFK/LlZ6N7pO6j4h0Ap3Io0EuI3sHQY4/EAE0Aek5wYyt/z9Bg2GVx+ROHwLKA4sslgd4YHFEGT
0F3xncrIYWB3qCeguvP9U4O0/usYCY5tBBxBWwu4HOPHZ++cDnRmhzM6DMKiI2Qn8vMKsi+ppyD7
8vv/C5D9NYs7L7y9yeyPn3N7IFH51uvpwCeGVvoO3E73hChI5E7KCmoPHAQbMeD+FEv5+dtPiSvo
i/73zXpPFvYhng6j+pJ25x2fXvHXk3KcO+Zev3/u7zv+vLVez37cDvjiCrpfP/3x+nC34Yj02SU5
MGF/ZwdXD7+/h2QT2aadXiC7HWjHoXm+TOwnNrtkGzjY9ft7A7KSZ9b2oAaDIjEGfQBBLbeb50dw
BovC2R2TEGwShOGRhC6FIdxfCEVI0EoOoqPWtrc3nKF9/07l9fMjCIsTkHcoOoNz8tBW8Oeb3uZp
H+Ty72l5/vM7WWe3eSS1gtfantMsnr635dc2beh1BbF4uLbDAb8OWsLD8/v1x+3xTfj6/2FdUPKa
hfVNHOninKXcuqpkd8FkWrp2XX1xsswrY50sZU7TYRPmqjQ+1H0v+nKIXIa69AMPCyl00n/QgXWe
qyyfl6mKBBr6RtAEGYsobSxhFeE8SJpw1ZbadIPCt4RqVRC6vCnlPKNFWt/1QfGdh30uDOjSJqju
otgtsLLOm84Yzu1CdqHv9qyPzus08XrsG0ttVI8Bl4MbGaa/6FFeixAlfJXWQfOlgAKfCxw5yRUj
slig6K6oSVjMWNab8wKxyGsqw/Row6WXk4F4aRphgR0eiArxi4RWelYGyLU11nO7K66ZHTaiITmf
N+nQCcPX3VyFsl1WrbpGSnFXy/J71QaXPWpnodl7WOEr0wou2kGHQsdFLSK/L0XMmNvWqp5JQFgE
vqFn8GPBo9/mzp/9EDf+vLTLUNSmMbgsVGjJq/pjmJA7FpuyXhVOaOgPEZLl0i4LV5ahsyztXsk7
R5u8EmHt00YQ6lsLgtomFrZvPyZ+3a62JdGLWiaJN2Tyto/VtWMV5zINr0sTXzBtzHPVnhuZ4+VD
MFelFGY8uHZUPLQSf4w0//7y3smdNXmfF30VBeHz5aJ///E/n/IM/v1xEeV//3J7N+l//7TY5Fvl
p8Zf2iqPv7/138sst8L6982WIxXwdMHpT6l5y8PXlcdLJWBD0OtXeuOlCn5S3z9E8QfVT7WBIK66
PdYHsg8XZzEbBvxbbcDlptu8GRQ2MdhCtlffPasNCxpQou0lW+Z234CWpBCX+6k2tkcKYECoj2Fw
KBT6LbxNbYy1BodmaXAy2IFULYGIEOinl1pDDyQvyrrurmVL+Kxp/bAQOYlp4ia0bT44ht2fx10j
k5lpJvq7zq3mc2KprhSKy/Lri9k7pMT2dBjoVuiWDnd6WttbIbcG7ktuLNkXCQ/r5hqXEl0HySB9
UdPcCd2u0TkXTWvV32lTGJGoMqZLt4yrJBD+oKjlQpdu+cC1Nm9gjLD2cJqiz4NtMLToHdvfoN5A
3fzXHGPwmHe1LnAMmW7oCs1tCi37zRHHEQ0B215fk84OAs/phvRzA71FyVzTPrdF03co9iLqMzFQ
p49En5hkkTVVj7yqyfVD2CmFQOcVtqfgZt9G6Cw0Qd1WdhLMgjwOb5Oan2eKh8oDs5J/UWF5kaSt
3c0iZThXURU22eLXb7UPA/QrN+EmMGh2C+HfHy/9YiuhvRG0RpGqa6l9/iUPGMLCSjAsjULW3W3b
Vfyu8FH67dc/u11rL3cwOOUIPZUpgXb5cKAGky1bL37WNrvAKlQgryUb0DVKwvpaqsqNmB9++fUv
gfjs/RKHFBaFZt1gjbPROiuk1Q9lFebXrDCtddnmVbrwNeuxSIpwZpZ1OrjE7FnuxsRus/9p0WwX
xe6LwkKB5kgWXNADNz2Mfx7KJqIwkFl0TcvEXmdxba+TdMuDPWRq5lR5LnoToF+0adliUSY53eiU
q1XLe+uyc0hluqSN88SNqcw+k6rAxAtZ328Koyk82Gky6to8t6qlTZyhFr+evW2XvTH/dKs24NYC
uJoVnNRdoEyntqVt+8YVqv1sHVVaBQIZiZaWIH0vg/M2jJK/AsaLy24ow7mTW13kYtTQR02HIXf7
MKCulcfNJqoIfWjsIqTnv2bSsvdAJhaBRbSNkEDhkU3Bp3q5nJyKRWYVanIVW2Xhc+ZpHg6LTneE
z3VT127VleaHJuttsDTCkLoVkguFq2KRWgV2k7TMPhapnXWCpm3wtY2zfNUrrUUBG/VnRyXM80vp
u3Uex5GINIlb4cdKXreFoW5KYyCzIEA8Fsbgy8zFTZgtbUenH3Ec3Aa9JJ1Ia1pea7/8pHFmEM9p
MExk1GPQDVY9DMJsWXyZhjb77pu1dR46DF0OQddwtzVDK3Nh0UUrg1V9JtqeDR5qbcMb4u6+UKW+
A5ODhqLNNJ37qqxXlo/xpzJEbbLwqYEiMYSJ/xecZqwaEcnS+LPOaOYVhcKrJJfFCpU8fYiawgG5
J1lyF3G/o6IpreC88qva7WEeFsjC/KZss25mtVU5R6hDzSyF5umB27QBK90Gh/4sU6Ty6oLfhL4R
mB5CuV7CVoNbV5qxI5im6bcuM8MLXPHizibaXtQ8NvBcOdmwZk5ezZTZxcO8SVgwN7rOXGOVto8q
KArbHbA2ayED3ATzTsc5CEfbzvqgqdm8yv3QSzXJlhK+KkCdVzlMdNZQEas4Nlzqt1TQ3O4GYenU
d4k2ZLaonGQWWHVvfmgJsuCy9MpMRQwrSc+JbrladIR2l04yDKn/oQZLOMtEH6W9rB5CP8R4+K5a
o6NZKHgFqjy/x30Wa1LBnWh1XZjXOtFZ0p3zqBwWDa+1v8qqKCpEjNP8zqQGWcU9IbVbAwY+mOgm
7wCujDFP+j7shzpN2nLmJG1gulWqkX8TlqZD82XS0zb0+i7l+tJRmsCKav0cqdatYS+cO0YY+zcN
iI4TuCUrGCw4kqhsLtOo4iItYfPyZ10TOa7hg9tri943pQW9+P0sc0Net/68TWmazZQPVsHclkEG
du1gg8aUOLFqNwsrIxWN6gN1qyIjy2Z5ELFHo25oZHpmjvUisljNrm3DD/xzSaimduzKTpVDv1Rw
0q4KZ0UQ0mzmq2Yo57xSMpr3qZP1S1OprHBt3KeRSzu7TxdVVEaGC7Dir0aRDciDMpYk8+A/07hJ
Y9NQMOVSfo2zjGcrUnGdzpJQOx+HWhMyj40co4uwDRWVgoY41Au/agp5B5sxOY+DASfzugAOZrlO
g2EGftLAXRb3RXuVsR6WtgGiUnk+QvV5RWw79QKfBLVHZQNwRlSBfSKHmAybNIGovceAgcwjfRaW
K2RG1jKIaOK4OElK4kV55HtD7Se2MNqq4Lex38aWS6IyHkRWxINxYfqpNUeFH4BbFXJazFAfDvkq
jFAbzBJuha3Yfk8gHnEJyycgpdu1kTEIcMKMPyvoBtgbIgI5wtdokNEQCdZYBvnUpy2ur52C97kn
eamv7FrClhQomgABzwjMlh+FSH4fUCrD87LPUvCZWnuILpAO9Ccrxvba7vzMFwzB4p3XsqNkppwh
AuZrFGdeSspEuaz1ZxGKyu9p24JlEQdxc6dsp/2rqEKybGgb+DOW2CYWkvkwjp3mcTeXVYOuh64g
1gelbfQJaQO+0TqGYq5GPe1mDc7iaFl1GLcrSQOFbyKD8i/SLLeLM45LtaCpCtVt11uauWbZAjZh
K4GxXIHSvYAdjH8hzITVnYGWrDxozdDlK624j2/jqk6Sj5hJbq06K27rK93prfEZ9t2tnRhON8vb
DH46z4ehER3O9LAwE7p9+S3rLegn4KvI0LVlS3iLurRhqsIkTwaXJw2ITpEGSfRBVhREvqrBKgjg
GehUrGV4UyKrr6QgRWgC3G3V1VeZERZKRGZddvMOKjHJrG9KvFUaIEwuvBEokI6jrZ2sZfbFh07a
56yJIiZYaCewLvrAWbeSABtdFfcfie5MdRGAmRtf5IVM4jsGu8VCSRNdlzwov0NZkFOK0AojfJ6z
gNcXfpgHjddXtGzBwO3JosAwra5Jy/4+SRP7tquVmS9Ls2+Sr62TBWqZ+Ub22A98q0OiMg098AMY
mUW4D9W8cDL+FQIA2Txri6AU1AI111dt+DHKtbrgWRLbno0rHIDag/scRBNi/qWKjSaYpViCmAyG
T/jKkjkqNxko5P4cQiYgG+1WY89i24AZ7ZqhmcEm05YXqKqx4/o81Q3stKQxwfQu4z8r3vBPRg9m
+vnAdYUetJK9EhnEZZpV1GIYqstQOLhWGzjBqgBYWtdIuDMf8qbRV11P07u4UaVgVC2trGvs5dA6
AE5iIjUsijTJ8yvpdNaloU0rn4WlzJqLoG+L0GW2ysJPYImoB5NLUCOgOlUjkhDiLIK3DSthF+jL
uzQoUfQN5QNhjRjAAus/F5oYHAZTfjULqZEE54ZftH+FgWk0bkqVk6wibqIPnTL8YVHVpYpm0VDD
Io2wjsltl6SDfZ05RZqKsmhM58pCodW5PVg3ataGBaDWMhlBXGWgGegOpdIZ6khXeU2KWbUYWAmr
P7G6gHq935vK9QvllF9bu0ef4rCCtQY7Hf8Caz1Tt5JLBAoWFzyesyx0WtHV3zGrW4ZEkjT0s41l
2XqtHWjryvJT1nwsfcUr2NxhRc+KiACa4Dj03WVEdJJf0qoIyS3uzNRZ+V3O4b26zgiuksooWi9T
PugMsMZqfZWmPvBf8QRiIyFLQq/tTHPVlxbIfe84NBKWH9KrH1bpc+Dz9snIf4rbvYxlvAxtTImR
XEX3Va7yRz0OkuwM9P95JGUvDAv3aYAN/tvLeM1OGPapf9TLAMw2ePtE9TOcAlFYuNMBFAJEU6AW
zYEKxL/DKQR6qDAIpcITOMq9rWX6GU5BZwhCMDac74YgLfhewMZzOAUyqXDfNTgy4HfCdR8Mwro/
+dtBE+LPz39+GYWFI+Ej18i2LIgGgCfr2JCghbDArtMBza5NUqRlemumFGJ1Vq0EstovDXWChS6N
G9DelVBDdJWkuBNVz5YlxEpn4PAqr+nYJq+jK2iZ/MlKZOpKVDKvJ7wQKhhEzsiSpfXc0WBPd2jZ
wjaaZUYiWgMMCoK+K1u7TtSGgnThDEI065DGV72uNzQOZy0nM20EsehRcVV21j1EYhZBzyNBFDiS
RpTVy7iolhXnFyoOZjm25wOOZwaYYwLZzaWD888QErpucQimf2VFi3DA67Qy51Bl9A1iFvac+j5s
YmXWLyqUBi63WSgsR53bnW7mzC8uNDaWnMRggMV3fqMLtyOknTVF90EiKxCKFXPYI8xlBsxdEIqx
O7B28AyJpDAyesNJ+oCjsFj02E5EFCREGL3/qUrzx7SoO8+UrSGkiq9A/+ReFOBkJpsidcOC2mAv
5r2gPZslRn8e2lp6QZt+1nZlnGel9GqWfwirsASjg5+jxggEtfUVl1uXqV5g3X2IwICa1YMBIfOs
XZgDe0RG1woDyw9dKDMBF458j2P0sVeFIUo/p26dksztHfJpyKLviSy9Ns2IiFhCBYmiSwj+XcSl
+ajU4CzjobM8HNX9LFQOWOU++QB5hK9hDPwHvZOIIcgH1ymsZe3k20gMscCtqjd5nKwMlXptUAkr
gnB9r5HjmhH8jtkpMN+5FLkMv/l99rGrQJXnDKL8A6kXQUATUUrdC91z22tjoEuJ5h7KEmuR5fVN
nrOvNvIBd1WLBEHUz8yK76iOLnUcXYIaB+8zQMwFtzbyLCwHwcGQcsGX1SLWxcIn+bUM+WUZ2XSV
GkqKQEXXZpx/L+MyguxCkok6qrzOkq7TAqNtMyQCpc2yROYtxsotIPyyTJB/UQX1Ssnic200i1zJ
qzDP55bTccGySLmBavjMctpKOGloesxsvg1ltFENdo24W7RR0XuxLFMhnfwGAjtf7Z7e5mWr3YQ3
dyxJ59o8L4dr3Vz5BjgbJl8FnbxBtrzFjb9M7eHGqB3uNX2zwOBNirquwPEPBw8PVSqcGLZLI4t8
F/wrX5TcgSmHQWVmFy5zcOZC4NLxMrN5DJMu8bqM0BkutqKaqL+62PHanD3SuKtXuVHGrl9zvkDS
XoWotL3Bt7JK4J7Adit5tzCMLpjZHfHdnIbtnBsQbYQQkAi6UJ/nfhLPs8Z6qG1tzeswechJ860c
6vuBtvEsV2kmAtLe9nVcuHHkNG6vHT0DddQQyBNJXF3gINUXoHtKL2YFhQ20LMEUz/TKllnszEld
OPbnxkwYW4RWhRa11RcgSxCyFR3tKnCS6qBDMyYNqxNlA13vltDkrC8E+EdDdA3udV/fcTND+q7l
lUEu6q7OL1obUhffqsHCzU2ii2UeaOQWcZ/Ociux5lFkB6I0hzWqgo/KJ42rwX+2LFnPK6PqFsxw
LmzaRZ7NLEvUqXNf5rkSiQaDNYutb2CgMzdsIIGCzME5Jzks5kSyRMDXTdHb+Z+QyFqHcYU9zeJM
gGHxCAGjxiVhbgpLQhzONJtEVLoCayjprvpCeV0EdktSGFeWrD4Yfn2RsfzPJmofB4O4bdfHQqHO
FEFhp64i3XnYr2yzzQT4besoyT86kd8Kje1wBoU8VGjd3pk4vgYL59KI++9piB8HZMIoAeR8mgxc
mciD/Bnuu9iz7GrmB9XHpAPVY4am6DqvSy9SsFnMJDU98FzWbTCsQkIqtzM6xy2jQQpYjNcOTQbP
sXkwMw3jA4Yd02upPXgR+BSD2V9w8OJcmIViSSWkjVRu6gWxGtDtVuFRHtHZUPUgS77xSUP2yQ6+
4koZMJOx74VGEnss4S38eFULnvAlGThyhy5lHmmjwG1Zl99kXdHOaN5eFkxjwVgTiADRm6iVV3VK
M7cr/BswfYXK1DKo9drhbT/DTXLXp0Y5G7IgnfkcNhA7rj/7da28upVfoVDnPDYS4LEevkHkJJyD
1FmwBoZcgDtpuFWuN4rzz6Cg52aRXiZZqAUOyJLE+eeyiRZGRDu3CcxV2ZLbhhUfuZ3/FcFGJ6Av
47Vl6gvLBrlrpOUv/AFVrm1Wq8BoYEvQbSCwDeG+MElW3O6ZaALpxgyXC2VHrRtZ6iaJ6luwROYS
6y9NhpZFUoauVWNYgLXVzRIza2bQY7v0eOLThRHAU9rEEK9KmoU0DLRwcMhWGibUVWF6YxYqBv9C
n9dSVqJ0+DlV3edU5uasz2ETBJU1N6IhWBgtukgld9y+pWC5g6RdBAjfOghSmYYqSqGlma0GnBLR
+D4SPSl9iC2TlWVFt2EdfzHMHMJukkkBSg4UnN0uhwzynXBW9xZXzQCeMoGgS97dyzz4SuzyRkl6
P1jkvnMgQaucb3kSfMuDwvE0iVZ+Vnwzc7YkVnXXMnxBIA5HcA9+Y7oNAbbrIEsXNcUbngznQR19
GBAtBdfmnbS2Styw56DrQ/coxvn/QrMbrNRfmN0/WuKJdfUXNMU7YH0D8U/re9viHUPtGYHacLoN
KLywvuGiFgp1B1DiAJXjL5OZ0DgeITg/APnMJysb8jo/k5kEaiowXF0PbRsgdgDDvsX63s/FwX0T
GMqbKWwpHA4S79reJERGq/vMug6zPwd13XVPCW7wqQ5b9xbas+6359MJ3vZ0g3wfBLF3f6H2laV9
u6uvIZY6w7h47AvrOvXjj3alHyFK4FVxFXmZRUoPGXKFKV9CMGFW06IQjuHki7wlC0mrpaHMT3EN
+kkVD0YKoXjML2sbdhalEwikgGyjBtnJJWl0SW7AU87BM44aEcAkunYIJvac5P2gRGvaqy5U/mNr
m1eEgAvt9TqiHghu+lBiCCQlEK6bWQozUZmB8S1OwVvgiXVfh10214gGrpVAShHxNgcVzG5oQY1Z
yqpvvArIDLJAoSgsq72NuxYJgnM9RxUBN6KSF00V/ZlgfAmdbT3Os/6yDZpyCfpnKaUevAoSG76d
Lgi4OywMiBgG+adhtja4RN1jlhg3uuM5qPhhmNcW84JC31HYeo3/y96XNUdqtFn/IhwkSyZcDlut
Kq3dWm4IqVsiIUkSSJLt188p+7Mtq+3W55i5mYj3skMtUcXyLGfDbnduFz4J2wJob/ZDayuMJsv1
LII9xmRMkWufkEHsO8aeczKih7JqW4RWYkT5PACqjkAIR6CMtnVRXVpgnPxmSnjuPAKO3YeGbWXn
H70Gw1XvjBe1i3Yo3bRvuy1dOhYpL/xaleuwXUV91edKYGXjh6G0H9vOGeLFqvae5d0NNRGRs7oC
04J3W7qNirnG7mWCcrfUXRn5le+DE6Ibuyt1pKh4Ml6YTnYf41pwkC7Yi8AE7ue1j0NvvPcUxgbu
n6imj3pY0S+8Gy7zJgLPtmHeeAHcb6eWCcNpdc/HpYhkOG3rcTpyp76lREkoU+p7p9FfSc7uaW4y
1dM94HlwJv0T9QYMYUO4sVz9qPDlQUpgnFzW76Jm6cJ43Od+4or52E5VEAE8biNvwXgxBBoMMMuj
grInPAVZVVaPRZ5X0ayHKrOMwW3TvaHpbIOhSj23fTK9/WhZ9q1mEMmIvMJ2G8a2X7+sIr8WkqwR
X4qjAH+/IUUrIs9idxx9rWsNj4sSi6ot5UtIgNFYLR+xITP/Iph1sy9LipWwJWPi09sq9B4MSOPM
AlwW1e356akwRZHqYJk2iIBGdonfzX1kEf9mDqwiNoupD+jxIgKTqtOwbsfI8co8nTQ9FYND09Kn
XwE1FEnY5cELKIMx5fBPqQhcmMHz3Y+5juVi5UtUlWN5mvuSHruWYujCqcBM3wKdtCDMqWrFE4+z
HkyfZafD6ukInLq4UVgKBoDi9gGzNNBYMM9D1x+GYb7EjKV3oNk9EDMNplWn01sgG1ValOZISTFG
WrTNhqz+JgcXka6zQyLj1S0Yik45aND1JavtWsRYuK5XLLJxnrff/HX52ufuMxMQGrnkouJExiGx
rAQT1TEXmEFITfxIUH8Gu6TkrfKNhUeV5fW9Ec3NNPZT7Dj00gN+jMoS95WXuIyYBFDxgXVYaByC
D82m68a4RdyyNkKN2hcd9ie3S6sRErB1ONaVteE+v7Br+170mK+NvZ/CvN40s3jCBOlHuhwwJOYU
tII9R7lXspd2soAFrEArIw9k450gcsrG0t24TJUxZnXM9sEq0rUs+4s1ECfXabci1NekozqutY5m
abD1Tn6CkrdzSG7SwqX9rl7GL9Rq7yR2NINltE50b3i6TIMMUXPMfrKpemq8wUL9td46je1yMVj5
cDgv6VvqXSq37hesBGzcjhXHoOYBAEHp5/d5hyM4pr5rpFsmBN1zb5a+2tdVcWpCH9s2VIU7A2VF
5Cl253fg/COv8sAYOLpLFi/PM+D0dzRf7oLGXx9AJJdxbZTOfFOQiE1zNiyBtWntsdmopVNxjV+M
+tE3D31ZB9kMid0a1wCF0JX4sPXGBpd4ajM3kIA5pXqkY7trpjKb2ZIafV6O2V50yxebV+lYgt9Q
Lf9iaucuwEB9ANA6YkWt+kTl9RK3Bpx3a9uPANjcxJ297sHQliStkivgatzorDQt1HXugzOHw23u
+HMWGCuMK2Mv6bup5e/ANzTfP1UVwVllCTUHRo0QTka8P/CDKsGREk7GomrArVYJ6NwdKKXrqdef
qTf+qn74/Tjn2FcGVO3HIQASBikK3pxkXV9o6nxBVboKpHxCuezBw4e4AEu9Hec2qwOx1Q4/8hE7
jtMcUKmOfq6jKhTXPDc3tLNTF3CaCQfQ1znQPzoCsfEjbw1O1C4wrv0x1/3/niG8LxVyZKwp1P4A
TvrSKMj+BBQKEuvWcmdXoHTV8ecHOUfb/vU6wCIMA5JzBlPxCt6zX/i97kIb0S5SQMQFEldDAOrt
XIXCYOcd+sY4+mlujQ+QF6nrJsQ9GNq7KZi8SC0tCpVrX6+VzLi1mmvD3fC2QVcyajxZNqnxlExo
5Q5YHl8Vp9Iq93Pu45w7eG6onOoIONZ645P6WQx1DAyy3KxTF+Wa0JTXpUjF4H6zegcSUOgXUJVo
tOD1c7Hq3A24CUBPRYvRhtNdtzqvpceeZ+ZHxrdLIBv1xbJCiskgj9raZKoubN7KaJ0Nx9wE/IuH
FUtIWXzNDZF3HTiLJCTF0ZetDxlDO2wplKSjQosjrRst0Nilre1c+jZrknmdz0R8fcztZwPYBnAZ
6uJjYAGtYRPZLpX3WJ+J8aYFyNbSPnIhd8V+hSaGxyxhhVHJbMltP0gfLNW8N/b4LEqHf1tqf2PT
Tias5heOWmsAvl1WujqMjDPfSErrU2hIROg6Hzqmf2M8/nFoJn97P+CBDHA7BMgCOePy7++H3AVD
jp8NJ0acZzfUMlnbsT5Rq9MR6ulToYHlNprHhM5JUNY9BIj1Bc7KCm5VsK1T6IsB/PW0Ohe+Ch5c
r+GZln6XGWN7O+k7JipKIIljMAaprTy5ddDUkwkUcxL0FuYRFCJbqiYu/e62kOUcE64VugHQ+QHb
b9N2GXQm4GTocwgVZzwSgLe9dL5QZ8HsvBSJOxCst2BVex+Iez/Rhyqguyl3vlM2i6idUAbCekub
+S4PqyMb+7hT7i31F9whbWQW59YfxwtR8VuAoTeShRu6DA+BENBMnRd22hnMgt2YajONZwYQ2GBl
JXbuoHNQ69nCPRG3oftIXOuB8LFLOog3wfHZ2bhaUDDPKiVev7Htahc2Y+ooCFz4mHgCIu0gmA6s
r3BKRvARdQtgerhzp/YUBvNOq+XZnexvnYukN0ZTf8HnNE0iRnGp+HxkDc0m5SWcQcRdNix2wvIa
oJfYQXIEQHFJaZ0nssVAo2iBvQQP42iF1xDFvJXMyoG52wA5qmwYjIipBuFbDDHsTdCnuJvSBc4Y
kEKmXrECJsWEKgw/WiRPBZnulRqiwiqvfO5FBVeZI6yDRBfnU7ENSP04tjrroLAA4+tBVoSuWedT
NqC9N71sEwM0NamFtamm4LBWIgJ61UYTKaZY2yi6q0OyigSRPwVXeUC2RTMcgGQem8DH1DvUkJC0
U7tdarb3iunQOhXE9EBdQcOXBCKsasshBAH8ftXXFGJBiF0Ma+J8uqJ+ysSEOeYk54wumfK2EHLf
tzZwMmlfUL/v0zn3jhUHpwvQJT8YZ2SxxktxY1blzQZQeNJibtiqZdBgJNm2HzGFMDVAkJaP6Zj3
5JPW9neV+92T+iu59U6A6fBwqcJWQAWCvj/qC9nMEN7KKJ8uRX9BsLH8vFX8VWeKTopO8f54H9Zp
h/MG2wUqg1KvBDLA+WYMj03xMHnbnx/orLL+oSfh/VYenDgBBIv+uae/+2aTHsaussf5tJKlAG08
67jMnTtfF9BSKAv33Dwe2ra0I0VschF0gQ9QX1lYJlY7nfB3Y02sN5CL13PjAtpzzVerVJfKZrc1
xjdsPfGgndu50HPSDEUmh/Kpqbx7i9ftTWHEmPoc2iLpm4Nf2REGi3Qh9hRjxNs0g8vuITC+bdc6
AZKyN+6wK13nsBbAiyGag07l0KNtg88/CKfBw2RFFg8AkpJ72fZpWee7qSVRVc9BNPjyGSCuH0O0
+NjNYX/vFPmQOtotPjmrf8Vbfrt8708quNj3J1VQryn7PJhPwfzE15cl+EzC+clF+9A4bKvGjFyI
5VQGt20VRp375ZPb4ucH+Cg3l1QKWzjFcvKdq9IjEU6TzZffUMV/bIDns/CXsRQ3OQUfTTGSEj+g
H269mWmIyzx8i9CJneHbMEnMJF/KmX1yNc4vRH53IN/2Qx8+I7gLAX5hNP1VtfvuHl+qsgHe3zon
jDHf0NSSuzrLEyuFuDO+j5rofkfj8fhyU8b865w+1+nygidab93dz8/qOT753Qf54bH+9YO++yDh
WIZtWKCMDNmY2LGdzrdmI695FqZhXPcZ2eA8ZyTuIzviaZi0Y+qdmm8//xTncN8fPsX7u/ODmrzO
dR04Pc77w7xzUpArWXjFokvtRTzZ3PvxEXzcJjzxbN42t/72Lk+KzbxF3YvWDawGOgF0loSJdTRb
yIIvecTnqEi+qsic7HjZ+LtwB9Jq23+R2e3PP7r72YP1YYK2HF3W8DjgvoxU1Gb6tc3aO5J0cZWA
YEnKFDarvdpcfTumZufHWNirfRWF++pUxGg+kIVG3/P4688/1a9Whh9v5D9qKD2Do+8uawlzQs8o
PhXfhRGP163c5HeNHYkYenUaQbIWL1G9CU7d1nkCkJb+/Pjn5+THw//5HH2oNig1Foj1ZT7Zq0rZ
NB1WS5xGY6tPmtK5qvzsOB+qTlAG7jiu9XLCTA3DyTd73k70ZXHTzh4ARWU//1Z/f6n/+FYfEWVL
ovj7XWVOHFz8kt+0xfX/7AAfdj53DmpKJRYo4R+cCjhgyJKfH+GTC/NRZ2/JNmjYggdNtSctRdY6
D6sJPrkqn52nD1VUk1pXI6uG03y+Kmsdh3MV/8++x4cbzKhVm0bL5TSNc1zSE/TZ8Sqvfn6QT+4u
9qEq0bywFoBz6AYgZL2wAfE+XLrQabJFx9XknMai/OTU/e31was9kbuKnMbQ+3DIwGVu3paDOXny
rQdd7XKAfJuff62/vTzvjvHhoamLUFsddIInv/KA319L+Qmq8NkBPpTEVcgZHG03nmwUbYDRwq0/
OU0fXC2/jzN/PIpnD/77+gYFdeDkNe5j7AZRFxf7cSsusCLE+z7maXFpInn4+VlzP7kb6Plbvyup
BPgfGRyOHvUAYLhBVb0ocOxoeobPYzdGV2sMgW8T+amMSRRcW9HNkJ67+tVjd+XusbXzqEqXIdo2
Md989vH+tpG/H10+3jllP9kkx0NHLs+N3Io0rDG7hsSR2HjJfRPtQVwf3uwXLGf9l+UwRdMn1Qsm
6J9X4w/XfbQ05V24YJZIxmRNlhWm3ig81MlNeKJHd2OSRyfLowaIbdZv2k0QW59U6M8+AvvQ96zZ
WJB/tMPJOqhoToBsVt/9jCTsYF7nbZvKI6j6jfVWPLrxvBGXRVK9fnKf/JV3/OHWZB/uEzG60tMN
bs0+m7MuIlF5nup2Ir4bd/NuV56HltMgo3s7U4nM2g27MhEMNylM2hF/qj+plL96yX/okX8+7v6H
UxJYIbihBiWlS70N3dA6mbM1W49wAkTfil2eiTjYtVuAesc5Zl/SANNBkw4bkd2WyXlI+H/Dwf+2
rvb/HnVPsBP/AfH+EFywk+1rXz7XP7L259/7g7WHzxi0vI13AAOOPZPsf2hmCUXqI6RFUMsCov8L
aw9qHqy8DYsDfhErDJ6831l7vPSKBEgqAeT+WxrCv2HtscD+5RkHvunifXgOhLE+3rOFwP8Pdzfj
HYIKrG65mN22JRkRdsAuWua2+ZsNytiHw2mwB2ge3dJm6xY0qpiaKJ+rKUW2grjJHT4lQZNjGIfF
cImQOf2tsLWOVZg/90TcilzIq0UIHnUrdTLXJxB3era+UJS+8TaoEgH+JyKNLjNujJsyXfbpQGEM
g0rHP65Gy53V1AMePSGaJZ6BYsVVVfSn1ibQzJThsaKDOIS0bBLdTkvW+1DtDh1QyVrabSxDcpYm
kvDkjcte+OUxUEN+AFcnMmGFIipCFwx94NA6ksJfsjlkHKDj7MSdO4uYCNYm3VxDMxkAmrM967Gm
5LKlc7Nn3NwRCl4qlx6sOyVt4yJcrFNf0W9TAwC5U4xslF+9rVX1xKZSQ6o6Egn0kuXH1quWL70c
8gSGWHQfV+0Mr14HOJ8enZ4Djq8HlY207hKmawfyUgWNbBE24WG0cpLSybb2XjvbRx909qbkjh9B
+EWPPWPXAej3W0nq3cSXO1icoUT1Gm9jQ2rLqMTKkvdNDBM8TbiC0WYVjESeDZ3BvAjrSDgYObb0
3AfMB49FbrviMOQLGTaFtBZeR2vf0/6S49qNMFCVFwsgX1inCpIXWJbwl2DVCq3hsg3Czooch1n+
rh0W584CK1fuoCdb9/3YhJfluAAHVmugiijESYD4LFdFDBtr+DaSUBwdFSYAKddbb+zJnPz60P6n
etloDP9cvf6rbssGrfDP6ITf9P7n3/qjdiG00HNcCrIKKeOoEX/WrvM7UxnQeN//LSQBBer31JXg
lxB2NISSu2DGkW2AqeL32hX84p6ZqTNFiEpzrnj/Qu8P/OZD7cK7KMBw4QPi9UIezPLn+eXdBFf0
ENVWblBfWqR7LMoB8gNTv5DF39VENlFF1xiEcsoAJ9sjy1a3OIZLd5oCMHD5JLudLDvQzgW0icw4
WeHbmQ3eYCpHJw2YMhAjLkcbTye1UABLMnwtA6eNa1Ifud/V8Wj121roZ0lBIBnifQdfANW0JYu4
8OfDHIzfhSFdHAhEmNium9JlBKm/NGtqG6tOeunPCQw3Q8xMaGJvsWk8qGbJGrVcOYsPjUhRQ6Dr
g7EqhgcX9ukETqjvyqZ7OOvPRalpo2LUIpJQ+PgcbvOGhVeQfN6P+VogH6UUsFdbU1SzAf+kVRmv
BdTKUhagBvKdWwzZwhREhWd235nmrysvLgbWHFo4Bji+E6jBsgcl7txMpUjGAlyBaJyLnDh3+VID
ZMIbxiIQ0MhO0CPs2cIKIs9zt9JdyjgP2vsAGv+Y2kthitgfu7K4HZyqfYIB8OuyetMB8pbL1h0w
3RJwiFXXP80FXF6N2Mh2opFnfBV5E9JsjJs7Ec+DC144X91OQwdeTpegOGkqhIEY3F+LdA0hkCj6
EDOhMjeuxb/7da42AHFjAgvhASTTMD/DZ5l5LX3Wi6s2EMtsaqMLKJAmqb6GhDe32BJb8VoW6/dp
5jerayNYxrRgdUTPgwB9DTph3N87G9rN7Tw46tLp8/DSk7neL2GO5RIcyMToduihQ4ZAGLifFy4n
t1rhbSoVLAywad9PEEaxUvILd1avsG45W0g9zxQ2Dfj624r1nzpnY2T55zoHG77Rz39T5/Bbv9e5
c6hf6GNYAJWAEe28Kf7ha0JcJxJZz/Qp3EXnnKg/6lz4C64wfoQhDdwq3pf0vs6dqxJ2e7j5XMrw
Xul/Ueecc8V8h4oBXEa+PzxUGATxETD7fahz85QXUNDn3qVYW7bsVqqk+zJyd8gvYZ90pbywYNff
BjmrY8vw28UrILym0Is3joG0KKdlhDQLkULq4CXah8nHns5K8RnqdDOqZ7KskGb55TNEPliyXMSd
9JoeaolO3uXVVdXBM3gmMloJCHcM4FsMltXeliHVCUpcDmu/GM9eKIi1+qFOOB0OpmlDKJLK+5HQ
a+jzsKnIPlagaMZ1U3ao1qMtgWBW6notpq+Kqp32tB+VtYIlG3apOISTMir79Tms+msKvcbWyPMG
WjtXjj3UF8ZbVQazcpMAO4DlSHdvbl48mwoVVVosHZbXaXb8BFkJ6Wi5RVLL5mJ2vPu2KWDrCkAu
YrOTcQ82NhYtxJauQvlag7CPyTgfoJ2sUqdfX02QZ9BBnHWaG8LmTLdqoyFf6xFn4FQEdgiUi7gf
3dcBRIOYcnhx7LM48dgs63b1McuaIkeeFBviUZaQ89QNUrLaLbQs6ayquxryyWFortvePnDLxHBH
QsXmy+sRl9RAPZTac9k3m8EiQRbQdk98+QLavo6RbnO0z8zdWIKbqvMGikPX6a9hfWjzp6qvCyfF
XFk019Y6LO1GkmaBklXYD8jHggCUjuIbNLfZzPsJNlTzLdQ8Y054tgrgx6WZXjuPAB7TsPvIcd4O
Cz95TR6kFjwWWTfwt8mCJKIKlkdqh3fDOl9DPvuEXJS9rdbHcqzCmPoac33hfS+dGaKuYnmqeQcP
2dAiicTFFDoiBcO3u23l99ewA29ZHwD7Z93dUuJrIdQMU28RXOazRloaX99AMiaGDyLyBQ2xLCz2
dmVvpFIezO2Q9w9wNsvWcxLQECeB+X7jQ6/Sw3UL2g66U2QAxZbi3wrRQaFlljULprMlZyk2jqUf
y0ltFR6bGKL7OULSQNQyvaZDgXZL4OKdJy+PoW64WnLrAfvRnrYuSSqn+uLnvEBOgcMiDYEinmb0
dwwJTLCYDmrf+BqYAFIUzJnk5FS8aY4JWXrPo86PtF6rSCzVCUbGQ+siJI2q8NAg8iFyXJhuKo9F
PS8BOw3jtOlm2HkH7hLol+vnRgSPK1OprP2drQGHCLe9XS0KjwEPEHbi+F+YxW9nx4rscHoAXlju
Wh7u1rk75EXQHnKlH+icb8Dh3lqUwroSXFoQ8XGbvrbeepKy3wqFe3OlC8hx0pgEiSk346g2AiZz
GAU2fcXDVMywkuHpoU961DvuVOYmD8az3rbO5Dwd6KBF+p8R/lfz7Vkk9s+tDdkZw99N8Pild50N
b/WC9B+hTg70oYDV33U2G1o0BoaUoVe9d+zavxAwmcjugaMAr09/jz6cX+f5a9ihD76TAND+N53N
RV7aD53t/Ib2AJ8OIY0IZPrrBA/zqUaICXcv9ezZsCmNu2nxoN+vXBdDUJcpF/qifljuGYppogvv
W+8GxyFcROKfcwoqqDg2Qw95+ASjWGM36ITw+AZra5JZjxAHo0F5Ya9Ak5mXJWweeVmkCM+4EV61
aZZh77jOTddCeFZ1CxxTraMRWugcGwAB0L6wL1qEEHaGEnL0Kf+yqureRzxKhJyJOaazvPQL95JM
NA07tWd1txP+6u5W6ENiSEuDeOTzBlFqqRO0b8huvDFT4e+hNtwg4+8lKBd4NtevM9IeI+FIBxJ/
ISLqySYBABPbM3YQ1vKvEzFPEEl4MRd86xjVRK2Grllyt4+GcYC2qnVPQnb7WnhuNPX9WzdyLPKW
GuK1Di5L2bfxVHSXlT+2+1kOsP2XeZEwCXW94D1arV3kJ02VDSWdWWnUeetbgBX9NHqwEpU4uW0u
+bWDUIGI6/6VD3Z4Ual654cWTP1Ou2x4o4NLXc4yZWzCVTNnYLoYihj0wYSgkQbKJLhcN+WIbYlC
Jrv1ZlZc24VLNmtbwWBYlABgGreI3Al+iFK68MgtdbV13blOrbJ0oBM8h4OtkG3RGVEUtlJbCc9U
QuYFQ7wHCMlD28u8ya1T4CrOZlCQBTVudUTG42EdqkvRkN2wFPDbyeAtX5F/VDHppZYuXWiLlyqF
dn/ZCAOPm11xiK09siBUsgs3QwVncAXt4iZ09IiNq0faF6JUbjDoBxvTno2E8AtubTvPk3GEnUu7
rnUN3MmL5Ipv2s2URiW1aRYU1oBmMwUAdGBAtxDQgsQFUe59radN4fC7xdFXUNg1KbeCJVJD+6LO
QuqSQ7G+dKG3b0MsQAU5h9qt51NUOs3TpP3qSwMuJdI8bLaLQYKfMxcqwlhALmEIR+JKu2KkwnmP
3N4y22DCOsInb0Jmjim/C1kyBFWyPB0B8mxt2AuMD7Nf3oSIskIUlQzhdcMELc9+QxNZUHZBhy3r
mI4VhVFsvoaN9oZOUqQagxH00k59Qp7VsIWU+m1o1peBjDwbWmKiOqz7ixLxFbE706TuO7qjy4Qu
aLFxE+SNd+NY5msZqgFKvMGgNXFnJoDfTfttwqdi4KAhUqxqTHK8g3twuYMHiWCSKWDBHsN9g2Ex
naaFROFoEGWqF7TxdcWwVqRl01h7y8MI67pfRl0NMUJU72RX7VnVXE1Mx5bFLrT/lDPnYBQdHxZR
v050OM6eBZs7NsAkmMx0NJo12zAcKgyqWLYLYR8dHI23/DCO3luHqJ+YrJBUgs2JxpB9XQMktZXV
CrGQlt81Q3wb0p12qlqukW0JI1KJaDE+ukkDP+tGlARxNiP3k3lRM8BOhhEA/73RACKYdv1sWXAJ
SScvjVXc1nP+ZCvz2HooD4HdjgkT/aGcyPMsKE21gDdg1LATEkMQ5Ooi3s7r07ECqcdWArxUjxeY
i+8N9RHoanlX4cyCSEnW7AIfntdxgCHWiHqM20EdTGVvkQrSxKOXZ5WtussyhKG9QvITJJFhMsz9
q84hiPDHMsm5Qx+RnSr9VDXzBVyY35THYLbwHxAG4u9KCQ1Vv74gwgxBXWre4kvXGXcQLgbDSlJT
duIVqkwIYZgDN4QILXhCFNlaHd0uMJpUTom4t/LsgJBHSPHdOC/rlyEIYaR1TxAXbyyv2xRQ4+Oa
xnNN8G//mQdlGevSvOmSXSHxb4BKeNkN55HbnNcpT1wjVMlCLzhrlpcDH+priWmdlPyuxvTOabNl
53HeYK6vYZ5Aok0Pd65mkcTsD13jsawBs+oZoZ0OjJb2a24wgqOPWctGB44OrkopEDNAmxu7hDDx
P7PRb7PRT8mZ/5LP31X/N2v/O2rmNwzTc2BKh3HRJ++HI7zQGhMJxa79IVM6+IXhXed45/n5/Q4Q
NP5l63cI3uyDYMvf5ib2r2ajD5Kf89Z/pn+Qynme0oA+fJiNVOuvICNyfWnX7p1Q+tbR/gFU5LWY
Ma5Mo8f3hY2yTLxttSxVIoXIs3ykUzzMJo/sDqA6W1DZkTl2Y3sofEjiIBFUvhSOOnI92B18ZSH+
VsMUT+uqJbuw6J2o5fVtz2B/WhsVRETNF1YHpY9ssCFN8DTF1uznCYPtL61H7BP9MHUnu5F3jMIm
xsa1OVbOr4JkB2tbDmTNqdnG08iDDkY1xZSjEa19c8ebAGHR0LBEdq93HaT6eTAUqFIE5ciTr4iv
/IroP+u8vWyVa91aq4BQsNMX64qcI3jfX8CrVXBEmwX28gmy411FjqRwv4/8uXfjISy2SmHQmUaD
KM/VVDgjok6aGjkQzqrbtF2q52kFujsP/XczTHsytBOWd3whGM12ug+uFou10dKk1no0A9nPXvDk
V3SnbKgtwgV1EpaYY1/0eIznGeROgBDfmVwKCqNSYZuUBJCaQmUKuXtR6B3rEXkAl+SNU0zedWjx
bzMyTHQTIM+rdrHQE04y52wm02wkGXxSJm1zBemBgIg8FxOBlzQ4Iollt5jSi/yeIyqiuZkF/Oj2
akjauUggDTTSxWmIaEiKPLC06IbxthhsFEUS3heWqiJVtpvOrvZasDsvRLaDVTQbuYgIfB8MYzxM
lMOhrj9n0MAXt51sBHrQodu7BN9l7btN6MoqFjlp7KvWG5rbIO9w4F4DBVaXq9d/K2EZAdFjXeEG
fw5VqaIec+CeC/LQd+NFj1kzsTBJJOXkvs6TeQWDuGR6mNuo00G+Rcrgi8QjinHb4bFABHlWTubW
hysBaQ/2fqyqx3YND2tHEK6tOCy+1rFbkHah7cDOhgJ2eiUQ89BrfRqqFY/PeMeL/KXjLNg2LnId
K0ve5itkObNj7juX7UQ3QN3uqz0ivmug31RmgW52tPC/gJHje4zbFKDVeou/OR270R8R86YUwAHa
x79G+o09shlJeL54s7vENs1pQnLvXquqj8cVJkWtm2avHQOFt4WGzpeyQ+utMazPWv03e2ey3Dhy
dtFX+V8AHQkgkQC2HMBBFEXNwwYhqVSY5xlP/x+U3e3qdtuO3vfCjl5UlSgSzPyGe899CYQf7PMw
rC8xnIjVgKF5zCcd71b25BiMCIIW4SS19KoxiogPqMy3fhp3EN2SiG97axyaqAhXRaxCLLbdAVoO
UAUnPNg6Vj/Fa4FXYDKeWL6lDiQw6h8QR1W+ly0zGE1t4mIGIhMjrC5TTeebJts1xL8Rx05ob1jS
bVoJFgjO34ZL9BIH7qpo+kd9jK+sujsWJhor8AK93Xerucl2oeZjM8mYi+WJfu7H7jEqWEimU3jJ
ZHebMP9zwHrgRn5pfKYcCcTpVVbET1BZj3IU+6lpHlpHiVXVoXqk7jcZA46npKm2tqgLL5uchrJg
vPZr85YtcbrFMb21jfJodHgPp6ZjZuS/RYF+A/r2DKn3UsU2q5m++fBxlVPUzC9pSE0tK8fZgiV8
azKbzmbyAc4b5UMRyqtRK4ttn/LUgGaekiezi619JFVu7hjbGlv2qEfXioq/N5T/3DWyUPzP4w0A
7+/E6r43f3KL8xd/G3GwiVzyPVAbmIL/44L/bcQhfiFFj4va1RUX9rIf/NeSEkkGAw4gyjCgf7ek
tH9hQModzspzUWUI9Zeu8T/IzLjGHbYALl0dWRQGpotlBPLTkjIPHHrB3sHcKdJgzxR9FwYMmZk5
X3V2P5FfYDSnsTOKnSlmHqSxu+BdoMvNs49aGsWm0Zo9XxRr65pYXYNBmatYhtWa/ho1lDYYm7B1
8KZUizN7GLNLFbjPoTVz1tQmqigxX0HyPNWW3DsFqClLC3fVVD77TlCsMe9ew5NhvVUk/R5n0jHI
Yjzj0jrOTgStSNrXypCPgVV2qzZybt3BTjZ5HVE+1O+GBTvKsQJ4KhbOHsDaoGTtfp3087XK7efR
hziqm+aLmxbPCpeHm+inwU4fNCu7bpm/r4FLPua1T7+gAwn2cUrN8i7PY08PtFcDs1hQBeChuFea
ujyVdvFiOOpshugXQmvc9SOnCA/Fe5vy/c/HlHGn3W4xqcNNG9N0Y9YjNkO/mraOk3fbvocW48fZ
Tc1iANenuS9CZBVcPech5awK5kHfWUnrxariRsU1bSV6vtaM+WL66tNoy4ekmzwIiUCKgvwySuVN
YXaIjKxd+XZzUZ39GFY+Nhc5vaiFCBYNFkwcXWIJz6PCM6OpYS1jM7Wab+sxtz09TI+jnn6Fcwaw
ssX3Ftbo81MDoFXh3qC8NcBc2PvRCe6rswwPijJGYKlSUxyvyRT0IrtnR1oBk2zneNuabb+rO+cl
VAwsuio3VmkR7diI56skKz4TWxWbuGUvaVQ6LllQkYKZWDvtowlCU5bFH3VtfuEu/WKoFuyDSp4X
zObY4/WaRJ9t4ULJJ9NKIApPDqWaH62LvDpmljqklg67NvRqJ+AOBGu8nUZ0NEagpp3zY4OaW127
HXrtNiqHb+6cDAvHB3OboKCYKzz6NiWG1CrENxQdrlouMgPYATZGB7KGszeWOqWox3eAuw+RKDZ9
k21FSxoKjy7PkfsMdMtch0vFw/Sm2kZuAN7H7uAEAZWkG6dGYmETr0wrvXN7ggMM30TfFB6g9Jz8
vtGRAVFroZ/he2Gn3RYaE5f5UpMpvumettRpAnLn1UTp5lPCmUst11LUOUt1B9qgPpQss1ZhO0Am
nbmaJcVEIGaobnxT4qVSJELl4lM6hpkQm3KpJhVlZZqrt5YysyluIykhRlCBOk7mH0ZVnEc/ZWtG
leoaxTfZpJRJ1K+ZzEr8bk2y0UYt2ZRLmTtYS3FfYYMNZ21HFRLPb7CWvvX1KY5xHQ7bqKgmlns8
Bn3mv09LQW1M1bW/lNg5tfZYyn2uhxrjpvBJC5KvpOMrY4AY2sLy9hoX+cRSuqOdMsGPpg/g2L+7
S30fjDx35lLyF3mwlVDoke5TT/RBlZ80Y7SudZoFoIfVeezBGwMgj7e2O/s4cekuOt8v1kFNxxEO
/XVfJw6VMN1I6kb3Yc3TbMlAP9QpXEXp84kDPUaSPM23hV8q8nJYiDRZj3iXtses6o4hHV+scK78
lbZ0R4S2+F4/tfGmqFq5X+BdSy+VwAhHY1DdQpC5Smm3hC8gqHCb60Z/9Jf73ZznESpWUdfxTTnq
9Uviss/ZqiZX8brp4quu60l5aVGMGhSqfk7mT9S8Om4Qyn9Isv/e5gvrv9YEjAp/xLM27fuflAX8
3d/KAuLcTMnd4i5UApKZfioLjF+AJFm/tunLeuNfZYG+LEpcFJE26TA/7/RtYpqZcWGt/0fn/9d2
+ssm5w87fZhMiHRYf7Bg+VG2/FwWuJk94xS2+pu0xyjur+uqEMd01OUxZ8kQr2OVPU5xwOk6aicn
5zsWWxkrdnCFYa6x1G/jhzForxJnvO/FeJp8GuEyVBjLBwcQczQf3ah9GrBU2Jl5sCLFV9IvVtUi
txlHNpadWo9ooKKZMyVjtozKwOUOg3FI2fAdmgMgkB/BRVECbCIyjW2daBXbcSzyceywbGY0x7b4
dVLUyE0qpy3Tv2wj6vJBKrocnJIG92ewNssZ19bQrmRQ9es6959TV98Ae6Frb5oNgLYP1SWr2Mco
b+n2J5V5tO5V9KKqsVkpWx3M0WFlynAaYvyLCuTOscsZp6/phaxhMdVjO1e9tenhmjUjYVsTUkFA
6+PHVPgfGWQXsSgnudlfI+FG60wmuyQZD4zEc08fh3pT94wTnaD8FgjJsFXPX0pUmxzSTGL9rv1S
vjGfm2R6j0oLu7AV4VG30D4ybN7CZtPvDDYyG0ngAUZ3OpiCffluGJIr3ap6jgBqMaaadesRvLGe
pR1xeNmFl06mWKcAM7ZOyEkUuNDyOhBC15NwRpSxfe05NOobP9WmdcuyjlY2CVmGEMowCbg5uWii
K25BvF/u0N4bVj8/MaQJN4VY+FNNKq5pYRG/DUnyWtS0U4yQ1Qt3ZnbX1Hp1CZURHRy9Hk+V63OS
T3D8AI3XTPeljE/+kJcLZ388dfWcGqs5E/7H6ESaAxhaqw65IW6TwtW3YTiUj2Lijd/5SGnftNgN
vkuH2zNbwrmAg3VbqJXrKWMq1CwRXv0S5tXU6NZJ92pZKo8wGipSvxrSv5AQu2ut6s71Egzm+0SE
2XiIOaGJDbOXADFJkphsiRSrMgEvbwkZ090rAhqCVbIEkOVLFJlaQslmmeibYgkqs5fIsuJHepkR
3dvmjzgzgs2KJeKMpU//5BLzcFCIilbhEoWmOYSiNaSjjUtMGikAm4Xq8g+v7d+H+TLT/M8N3vV7
HZXFn4mzlr/360EO9o44JKTzjpJMZAWn9U/9nYnv1uEoJ6YLevRv5/iP5D+daey/Rru/alBtcNTs
4UBhmOCil5X4X9Bmmfq/neMYRJDio6I3UWcZOq/853M8BjVl2LMR3mRilv51aLTW26gLSJFWnefB
pdAGWqmuUm8qJKRl72o5ypdh1IZXIO7NkxvK4t51I2uGYNANNAi53T43JqIq0DSQwVQYU9xH2tNo
QH4bg1myVDOStTEqCsN8B4vopuvVQ5BOC3L0ncuE/dJ4pxqHEA8lQOZm0Y0xMcTUE0W6iA+YoSbO
JkYU36CyCuoehq+Y3pMKIlQ1oAPqGLBBT2VRNc0Odj/leGnOl0/L2QZZHbyHoK7xZ/r7MlN3soep
ESl9kxAnNPn4/J0a/Eqvv1d5dV+axlvoxOaq8OvBo7WjyzLmeedELouuHoIURuK7WNkndGUvBh7G
ROXpKavZL4VJB8vZoO5vmFxLhqyrbCgdUFbJXV+Vj2ypy2uTKC9G1VjI60WtU2dEBQyyZ+hHfiKD
15EAszxITwSCb2e7fDEVl1CjCwAVov6am3oiuoMFs9N0e4yOO+Fmez1pN6Vtx94ELklKqA9IkZGA
sc0OY96Dytepc3uH8U/Of0kmWmAwiqcc5K8NX8iR4cYp009ytB5UsWQWtrE8+ZZ/iMql84Gj2VvA
dfwM7W2AYD9ATIiUUd7RtD3ImlI0sOxvqsiv5sm8KycHoZxwmFznzAvLfhnfBuNVDgejFQNnYZHv
0ggSiUF00Zod69L3PcUKNLVSAKb0MdpCwbnPLQpgbfDLVSgcT1Z2f+4YAzAVb5x2VctDmyiGjIsu
uU6627nv1coyw3M+cz9XmqAKmbpHNK0ffj9YezrVjnJceOi1npXhvNh+sDZq/R3lIF318jJEf6dN
jlf5802aRIwoDc/1LzysBW6M7pS6yWWe1FvEqNrLwSV69cgwVLpJexDldNUqHjvdik8FkxCwWbxw
zXkmWklbkSARrXUUIGutjrxkSM5Wmd2Ybn0lXXXpGwey6qIrC2zpaWb1xt52E1rGY8b+F2GVfSx7
dTMxeYZL3V1pru8BUMTB5TcPTmx/KG28rlX3ZfjZQ9PaB6jzp7hP9IMIbWTaJIIxceZzYJrwDeky
X7E5sFfOmHabMlc3/PJq1Q7hS1VTRugiuzF8/VJZ0qvc5EPT0I8VaATtMEHzYGaXtiucU26GV3bW
5s/UcWDrJu5bTcCL1dIO2m44QVNiBLa2s+x98P0EgWN6qzf+S6oV05p8VBSGrty7znxK8/a605k5
dPIVqvt7a5KlYfFDB+M2LiNALS476vaG+mAnTbmHm89s3UdTaQHtzaWTe1OSgxVHBiNZuk9WCLqx
Na8ivWZbMSYIncdeZyA852ghDCCOrlu1ez12nrssp9ctSOhYVVEMIiYFYZw1vPogL4pNOUrjQgrM
UUM9cQ75YhEGFlk3uY27z+prPpzWHp/nKg/ual1Pr2IZW7uWt2A7pFq6120g8HiVbPQPjc8KrFdt
uG81U2OiEfKjJ3xBnhYzcf5xO/19TQuWmP/5mvZY0ufFn3Rb/K3fLmmcHYpRp4OfbMlywKz60yXt
cjkbDFIFf2Khw/zabdkkbgPLcHGl/bjBf9qlWkT3Mn21LbC2kAudv6Qzs+1/u6WXts1lnWvrkDos
kxfx8y2dZKhwxta3zyhIj0Fb9fl1OxgT1KCsL8vFuNVxIw3Y1rIwC8anwg2xbBRujoyjjcPX0Wzu
CY2aNiFO0PXQdjvq1E0yc8rpIjcoLlOo8278YS64MjO3ou2kwUPKyXNBaUc0RKq9klB0h67seegK
PbltEXbdo/nZu8PIBpbbHmQkI6JIOyd+7gyrqq/QMGnB61S24cX3w0hdwhR0vpU7OOAkKmNzpRjZ
FhvLz0T+oGyNlKjaDYdtM+p+SwxeE0ZPncwaUuGS4Tkx3BAVXVLsozCOp70h6msiro5DZ91ZgZwQ
RuRPYk4fOok0pAjLT2OZAauwo4Uip7he8KK6+REuUT+1Js+qMxjrjk9dGFnkvmknrdc2WiaBxC6j
T8m3dONMbCyb3JZbXYbPTNqcdQaL1Qis+8QZbuKY8M1Ji74Zrv2QdfJLyJhrIuNNsZz21obnCVsf
su3Avw8uvEzeJjNgQj1EezG7w6aqaOyy1HmoUt3wIP/nVP4LMTI29iGml7zv6002RAczpH6yMsR7
hDzNbAiTfAtSikQyMR3N0rj1jS5bswqkdZDGvkgmnekqGCl3Go3D1MPn1DrxTWBGc/AkEtFmgcmy
m12Wu+/gsa6Ua1813D+EZiIRghN+D76zXxMe6o2+9s1yZy8VI1a68hzUiKkQCW7KmvQJOBQ0Qn75
vS00irJoSFadln0OoTvSj+UvPNKQ0t3e3iuJdI/H65a5ZgsZtji3VqxBLPQvZM7dWgH7wCDU7/xS
Y5CWwsoSY22tkf01i5CQ+6946WLuCQD/x5ZPsG06j4TkaDdabBOUqIotpdQh66ebsbKe9aY9u230
ELfElESiecqC8G6JoGJg2cGOVdoB7yUmzLC+m2z/AZXT7VxBGoP/Vm5Ib8bRF0XTRq/9S+fPsLx8
jWZe+6wrLcRJWSa7yWL6P+tuyiaExj2wGpp7AU+MmNBjUdo38VRA8HKsYV12ubnO+rRFlTecmMx/
I2n6GHXURXUTXasYBCQu1SuymXXKOGIhJgwMOl+AjdTj91qUgze57Y1by5deC8War3q/iqdMrcPO
/E4yAuDMsrjr5nLdwimel+xo217CCXPiP9qkfzSGOd9rkqfTDxAKNGn0lU7GvOts+8UarHsahPHQ
FwnKt9o4YBuBzOk4MChRSSpWi2uRSekNVXwTBQpfWXKXpf05CHm2h5Aad4iTbZS5FyPIweKl2KKG
cjCxh44TaSHqYdApXkUtvvuGfBNm+omxd+HlCwJZWnDHmvElG+2piW13nWXZUza0xtZwu/uJZJJd
pLLXYpJXFvWC1S/CdlLBbTmqW3NJm8BBIYCphtWHORDlbVg4kRbxQ2dV15RD7XZOih0Dho/aNF4r
xzX3rqDiLl37Mnd9vnHakFK9RuXIri5fueH0yf60OQi7vQ9zoJAkvqZ70lUngoWTmLPWfCuVvG8z
EuEGcqCQpfnDhqy3eBOXZc46XUCZYemaWOZXP0/uhgL2Oo6NftMT8bLHD+ziwpPpyu0q7AmCYg4x
46fW803WG2xowh+sczRauPSbCsKhZuDsNaq7IScaZ3LYFemkkSVRPvI5RSgGzGkTWfG0meKwvM7s
4TBl/hssNmwxmsy2GIiC1WjytJZ1/KnsnGrcj+etlVM+SnMCQlhXh6KUXsJiCWyfSj3HmbMV5+G8
y+PqrXYs4vQ0hGj+rujy8DbUyHu0ishlSz0IQPuZ641ajjUD9c+tyo3Ssyv9QJjgibkY27AsdnZN
xd4C3alY+/1Eok7XfUsQc3jUdObRKE0WV+wBEOMH+T7M8/lxHjI+m2HSPGsp+OnkOFfJ7FtZbX8g
hK5e6bqDF8IiBy11j747X5FekEEHLGvPT+ZbwsM2KJ/vHY1CeG4qRuodW7auny5Qox9yY564EPXU
QzASrbpQq2lo20/gl9SHgC52o9MS3qEzVkTEQFGfhpc2Mi65P4tNUkT9riznKzxNJ2QwG3wZl55R
19aMK4G9BydgZNdn14o/HRajaeMzCrJdf6VIyUZDZKE5cCb63aBfBzPtlRDDk94l70WiXdI6uk/Q
vKyFIdQ2rnVFq1N+pVhGgkxIrzUlhqeIwJQOGS05QaDGCc9c9V109t2OnlwX/WaoakJf/OQqhyG4
j8c4eKrCFOmK/wpPmtqTry7ZnN/RHb9apoYdsz2XPY+ybLNP3zLcLbGQCWGO6RO1foT+Bqa8QQbI
LEqx0dLoWme0iNQluUoZi64ld6ql9Rxguv41Og0yQ//kkCS0E9F0RNLrbqpEW8VW/pxN9XnMDVah
U5ahsZFrPtBj1ehXVpp900rnOwOHbqVQ4xA1u/eb+MvReq+hod01xFgSydGthkJ7ErEg4/YqgyJZ
dzY7rOTd7eIPsu/WZc/UOa7tA8rx5alxgnWj6uPcDB72Fj6ejGDwuGyuxpnnGcBf7RmG/DJx1BLN
Yd9HccAf5gDH1X+K6nQxm+PyZjsf7ajc3qjADtFY0CkyTTZbRbtSgIUuoxtVgbBwh2fd5B8vx4JJ
dXyVDCrcmVn7Kdl2B7aPS4h9krAzdmr5k25y4bl5sLMgbW8mxzyPSfRYDwNSpgYzplZWlxJwwGT4
7oaBwB0jkWFlxxZZKTLbIT+dcbfEW6ixGURUWObMSwMaJL46+WxyWNTTfdZX/GoOvM+QunPlpBGT
YHOpHuqDbYbHYYq/gy6PvGBwbiY93hXzrnERnjm7eso3+nhytOQhTPtkGbVma+FYuzjuEZvZFDLm
/GE6g6eG4MNRxFUZhB5pviBcrKze0UMtKZcDeYyl6Osrvj4PwYRsKmqdJ720WUEyzW7qLTEfQbo3
EOr3pMX4jlne5ooRyVrAKmAJKC1dA2ZfFGKNDK2pjwlD2CUmawDo6hVpr023BLi/5cKKtI3El8+O
HIzBxnGTY4EkbDUmJM4KjfBBFzpUXWieZsc4DxNt8CKYCBIc8cbvixeksPM2d/qKXPZA36a4pcw6
vx8IkvIaE6l0XD+DG4egS+Gl+RHMOIsm1ZbvZT5eSPvBMGVjswujNltTdzVr+K3M9IdeJ4isGLlO
aDETwcXWcKXx+S2fHbV55+J4c8NTVWNnTku5GVv73LfRDVkEp2U/AwA3ftfdadO48qTPE9VNUX5w
t2DPSNM1SUWPTRTJY9uJr5nk3d0cC1QFPdFKfXdBdxFS5GEto5VgSAIPQ/n5t5rsLFOF2hqXwuxV
jTqRnnJnAKPMWyQSVlYMe87dk0sqhT1ZXHaI//ddzzc6NviB6PrWiUyXOVxPeTOrFSaJXWlQ7bp6
8pZU0VqGNwn0/tiaGCiy46mRL7kOuGYG6HB125vMir9hNEGWriM0maJzEYizhfmZad5ZGjcKbI02
V5u61iAuieKZSONDG0avrd0+lm6BrQ8CJ8GSo7IXvOaauvc8VcZbVOp7qFOcjFlwmCd7PsRd+sYL
fAwj5GM2teA2bEs2E5n2JiGgPWdzD868iq9GQlc3DcE6bALm66EnsqxS+kvZi/cxTm6HIX9PSgfx
SgOjf3JfU6sgXjJ8zsg1/7uh/6ewCq3wf27oN1/p/51ZNX39SU/PX/y1pzfMX1i20YYjcl4gmhim
f+vpJTYwEgVwevyT4/BrTy+NX4TgoBIK0qsrjAWv+M/JuyQ9kvkAwAalfjT8xl+ZvDPc/93+lNAy
lF0uqZHCZZAv/iCrAjIcN+mcUz9gFRBJdLKDZG32/4trb/wwV/+EW7IYP7jLqhgVGVz1fyPOk5ie
4JxJhotl4fxsA+HIrTV3xywiHaMwAg7vwcYP0BY3oLJOVVI+2gaA8xIZ63ogd3yb1HpCXIvFTcPI
b22SEbPSrHJhUNQvQ1NCqHFCRneL5Sts0vuSH7g2yvRSiAgrpU0Sl1MZgJq1nl0qbiXsRM5VlY1r
F7MbQZUNwzdLYZNKcs9XvWdIq910UCDo9SnPbUi4QH1c2bkcHeZLKNNijXLqHuXGnZaNZ02zzuSr
9KiKsFAoxz2QwHse/Cxgd6c/Yg/lhA/6fmMs5tOup9HUZo9UvWfXqb+MwH4Lsol1BjKLBALzJp1g
Rtf+lbKzyIMGslewZnYNjPe1WdePhQr2kSODdRqGV1gMP/IhTLweVA/rOqgRaTGWG61bfEvMtT29
nd/0LFu2pvGNdFiIQlVHUUJXtGS62Ppj3QTXBRkT8IOnO7vqdmzx90iWmBGz5+SFmnTFLUHq8HHu
tYlMx6ylFbPdN4rtreA675YhQtNJEukQdDtY+/n84h2ioe/OxCRDKOuapgJrbY43r8KgrtvT2RiI
eJ5wxA+hzgRaTy8kKscesZq7OZPXQeAHq1aXO7fnvQ0HEEiasvpNSbwOq/89EtK7IqdsNufmif3J
TJIiY1+zTe+boTsQQcTBb4pPiIXcusP0lJLDtxvN+cYY0SA3YdwTBFx/01PjmzGkGM8JJi1S94BJ
QceFPuwwMd5mibMZ7UKdbHMm6DHNP+e4fAltRkiZKh7wf1OhVnayHzouIpuYEdP38CiR88sjhi5a
DuFWH8PqPY+LoPZmR2snQidJdaHXTahhJ6MmWVqSQbgR9uDpzrAYkurxmKYWolxuc+Ej2JHmt0G4
h8jSgaaj31pNSdk/0dlRFAeDLhj+Route9SjTRIbBxMBko4DsV3UaU71DsXgTk+0L8flY6pwJhc8
jRjlenQQTYsIe9gUA/N5LbOw/A39ySGadKOhbLCiBI9S00eYwILhVcV2sx2D8jqIhL9uyhFyAt2M
bE5lDOKkbUh3bZe4D9ZtbrzuY0H+eHGdKL6yZp5ccCNcpZp2mFMcjmEQhsTATHhR++ibGqZsFQ9s
u8ZOvyPpfjeSeseccFhDsmPRUL4M9RanxCGUNZHn2h62OPeeeJstEtjslN3VlL6l8r4fGgx83bGk
4kqZCsV5vTY8lGJM+FvUTOZ2YGxPvqNX6yFmybnsdyaMTk9AyYIJI8lN0VftWAwbX2NZJ4dy1+n5
zVSweCxirISTfGpb4VyXWiyrh0WWEDiy9veFATRq+9MFc/nHcflzNu8fzCx8aXAf68v2FhUupA2I
GL8bwDYNFZ4/qekyTGt7JXf+cbwvrg8xVNf3/LncJgecCSv/Cg9+t4l3/wuLvHhlfn+I8+Ndm3sH
P6+Fee33P772O6vXVEdPab+X/sGFJuuObxqRTf/99/yzn2MIHWM1naQU4g/QRrflzooIOL/o0SlE
u5KmX25wGLrmf/yc399+/3g7eT+5A3WhkwnH5PzneXaFNNLq9FBAur+qFfwcxHLy+b//LnJ5U/74
pv38y/zhh3ShEI0BWedCp/hEMbrt9+Kbw15zVVxnPGOru3rLQtYz9o9nZ5Ouzv115D01W397Gx+H
1R5Rzand8Ac3hcf/tk///fUZy5v5x9cnye0BYUcsNQnTv38T0m6egVkI/YJT++zfiq241p+Do8GG
c91BOjy+6rtxfa68YU+sRHZFW3mLhdWDhrT+8VL+3gwtD/B/LiS36f9tihqj3Z8UkvzFXwtJFByO
jfwdtA435++leISD8xHCAzMAIVJo/ms5RNqhsiWVJ5sjyshFV/+rhMP5hfNEosbDOoW4+68p9PH7
/e45WhT6/DucTELiXEIZ+IfnqAr80dL0HqOdLJ6GxWnTY7nRKH2ZCDT1RZsXPw6X5Ysly5Zk7ZTN
sq2x7M2AADRanx8JCyCjeeaMFhh9kOLapBE6yOaI8PPmZWifRTORdDVcgFZ2xbbyXbQWi4MoxkrU
LZ4iNG4hsjz70cVuxK2Se2qJN7axInEgBPsac1Ibjc/MwhYnfXlfFyEWLy1y97oIPnOsTaMprjCT
nwsRMsta3E+ijnVvsnQyq1nPpEO0mxavVIFpChX3q98ax1YxtAmxVYk+SL2gUmT+DDht1Gh9KCR/
e4LR0CGPgBHdYvxShfoiez3e4DHvNswhr93RfMmNIj+WXVqsCIp6N3rGmov3i5f56ebZTWJhRzaJ
2NBCVRRPI6CVLUfPjnBpJsqQuLAMe0GBtdZnsz9b2Re8xu24ULuKtNxJOF52PdwNZGPs0e85kGis
YJsM87yJaTi3nTbeEMfM3AI2WAQjrF9gYch1fsQqMrNZUGIxTDHi+g6mat+yBTZWmczXOwSR8wIi
c8T05KQxYSRjgwitbEfGtilXonsKtfL73IXM11HIb5u4k3CMsF3LOR13WcSOjEW3eyirKbw1E+MR
czC+rAlgkUEK+0xU+ussmBQTPux2D51KgzO0n/I4i6x2sfgn+9IqtkMs7nT04RQZDnp3jAJMM6Kn
xUCAz71ziB1CtGwGbHVKVY4bq2i5PrXiEsTEwqoGdo0SD7aGEHSIcTN2NEapOsou5y1GmOnH43Np
Rd9sMzv5GnksS8w0tAiGALbWvbMmRCYuzVfNSN8oryHVBfZuciUY/DBmWYj9wC7IXe5mTzOY71ez
4005gdpEL+VpclK+fa13TAGdieHYnH8XaeFs+85hH0CuzbpMAotwmvhTV9qLRcT9FI53adiepl57
wJXy1nJd0iQQNtFpV9VYn4XpP455fDUNGZ+WbzwFGbSgsPYf/NFmMcs7VBqB9MySujVx3HNuyFff
Hh6xA82rNEhjDHaU1HYkPhrp3g01lH7m2Uz98KLa/c2gyztz4nfJ/Oi2bvSDciCDO85xWe50itAZ
zfoIpvZpaVeC3AKHYd2E0bw362xVCpQqSTO9WB1p3HHAxDiJ8HhzzDFbrxipuoylYKX2qFmj+qVu
sqPpku9jGodQzE8M/wkzIZ8NzOhwKGsrWvPAQtrQ0jtwFB+lmeFdT8hkmpWzY8RsbjGYO1u/LZot
Mq/MK1zoUhIDS1xm8YGR/nps8Aka8DaWE5dTSmd3IvtLgQ5nZVSt8JjX3yL2QgwGbknwFnAm3ZoT
W5XO/bTUEjhqq0dDyWtTEoZuduAT4HOiJ12OuJrQ9T4Q94abM/UNGXqXAE0b2Cfwb9N9hu9CT1sU
Xlmr1ornrZuDe13IDzvDIh8YznXSh/4uCDTNo3+/Q8RBdnKQ6OvJsD+MiFguPU8hCKpyO5nkTmWR
IRe2lEd68/e6nf37uJpJQqr1hzzqyeYEMPZZhtpZFX1PHhJnRBQ9D2F/wx58n1nO95kSeNtiLYJ9
IWCRVKW+jhpLg03WzNlzBuQluJ4JIlmhNSrYb1tXllM/uIvxr14sgPNcvBVz5GLp6c1Vi0/Q77EA
2jgHVatV67mrLwS+nkOEeCYewxGvob6YDs28PqazsU0CmW671rrFY3jduWz51WJZjPEuOngYmZ0C
u1lsjdbAKhRbyYOJ4zHy0YPjgIwXK2QCVZNXM7+4i0uymp4ya7glJ/TC88CbgJ8yw1c5W0iI24Wi
0guEgYv5cgn+y3Fj6qy7BO5MKcbH3EDnLa2Lwr1ZuizrHf5jXIyddqpoyxazJzBdA0oFBtBc/D97
Z7LcuNFm0VfpF4ADiRm95ExKpKhZqg1CKqkwz0MCePo+qfrLlsvDH+61Nw7bFSpSEpj5Dfeei0lU
DfVkXO1IJN81yizq4hoNWf1yEmEktZWlFF8p5tIq2c/Kbqqlcl98GFCVFRXSjrGHjxGvfGVUZaIO
fF9nTySVjTUcGRMoY+u/VRkLY+oUhmp/XZXdxu/Nn2ZJ81U/SjKFPtAFVbOHbwU5zGd3hPiFigi9
LSE2GBY/uyP8X5CGY7MybYCepq1Y0T9KMkS6vjBUzJxrGtyr/8wdob6hT6U9JRnKXJKiFJyaztE3
f+rXEGHkEd5m/YqJYgwfBVubI76U4ZvuUx0EMXCo4jL2eMBj6RuXsuL/N4Z75dDh9nW1IT/2Juv7
L207L/VJG7eI5p+Kxt7WlXvD9XqsEKthK3oWUBIXmVptu+CNbYztYcsCwQj7+2os7hKdSXrv69my
rkWHk6h6DpJ45djGhQ0rKBf1ywypUyTzk4FnbZmP3SGyizUBGe4yneNd20OYTYr5ibt0x5iLoX3a
nUc3ek7y4h7k8aWf1E+Wg5MgtY1vmiwekd4/ELFK+dLbG0imm9mdz7GfwhCsq23lJ/1SImr3YjgO
ZuARqxZICkMOCYSWSOysrVtrm6YdvMWUew+1xLZddZO7R8OJwCCwLhIuZvIutB3SUEJjyZHa9cBI
SouwHjSbsnJuZNXfTF3e3Gf29JJVrF2cmlsx0h/13KZUYjVX6eMxTCt7IUNCq+2k2HVc7sw5+gvL
avcOpnjubPswiTfs7l/CoL+fUHFgIWcQNnuSiGliELPaPGYue0K3Qipji3tnZhgjdWuAvRJsujbE
dCgHBwDitEtaXISeXFdDDHiHn1kYZtZKTpxEDZ585J6nbuxEtA7cpNx2zJPGi66MiQG0Kr3bl54X
rjuXRY/gNoUbUeoNybmxRaIbA4rOf8mGWjKUsI1u5aT6mLPqB0i2zI2SsMwMUW8Y1fWysvxj3tf1
mt3m1yJq8LcFsAZNytSFYbByMqW+knP7lQxoa+lDPvJsRBETQcxErnF4iglZqp3euDMSVxR1Jy2C
FYbNnL+DzVKpRU/ZaD0X3igZ1A63VZ+yYtLQbWLpe2PJ+s2Yxve5a6YFgMiHEAbuwjTNIwaJiYrE
uGgKLV4nsjPXlj2cUY4TouinOytqnuFldhsTzcTaDrxnzmUQD5bD2NeVb+Bo5KLIULdMeYfYIm4R
rODjOGahdgqfs2FVhOGhGJM3a8S3k/O8FFB90/nCKYptUlbXg4ktL0rH+8oi688pw20WQRpmmoi0
zXkMYEWxkw0WHvGC7OmvkZwuJ0trL2X7XNiMC4NJKy+AIszxir9qXOjYjaEYaiz6M4rdiEDhBtEO
HQozsYjFLQStfcogeXaK0wx0EiTyNwf4wDLDAqRv6iltvv57r3zcK8pb8df3yjZ7L4o/6fT5ol+v
FfELT7KlqIKwcj/a+V9XRgZYcI82ngLK5nbhxP8hA2U8oOugMH+0+r+/VjyDv4t/MOhSDv5/YNbg
7P7DtQJUR3dMj5uKFF4FBPg8Nium1jXG3vOvjJyPDtv+ucLspuCoplZEBjGBeRt8oXRurjHLgVLN
FVV1Bq/qJP5lU/gpKoP0NaXenZSE3yBscLIsCpzKzEYFkp33xUjedj/416gbv0G2ipeI41FRGFsN
7FTYxkjc6q0OjsoDSzVW2k6Ls1e7gYPGoXUZJvI6VSQrp2tWyAR3rg4VGpUkwDa5hIamUZaRgEaa
gYFwJlZ8LFLrs02vT7tJsbMKTbwmOfQ/2CT7xnOfKjBbcyO/skY/grbNCAHme3v2sTh3is5F7/ne
TN4qVdyuBA8fbScsr5kancl0sTQGsavBfQ2K+yUVASw1tWZdKSqYbnp8txgSV205PyI0PXqKIyYT
iGKNYosZKEkjC3Kf2YebRvHHRBO6nE3ixQNNxqhkWNUWtDIBtiwHX4a3ELFYeTUqrpmWB/YmV6wz
2I57qehnfgxKSzDkX+m4PGCTQUkjo97E1ZLnS6CWTPGn69xO9y3sgAUA0rcp5y7UFXetKQN6fAbj
Zji9AEfGJCLEt87QDgJoGx61y0RR3ALFcxs+yG6K8VYq2hunFKJSAHAzILhcK+QTv09Khi9z7hwt
uO94oAGIJQd4L7dSEeUaGMvtill4HV1qRtGjfiDTO1xUGcn0OJW71McBjc9jn7WehVBgiLax57EZ
gbvsHw14rQc3LYctGB6CIXgG9LVFCbIFgu7fBrDUSPSbxEgnXqIiHezJ2tJFWtkq68dwKwiLYHxU
NMalm2X9o1c63g6Ckv7073H4cRzaUEb++ji86zEB5n8WoaC+7seJyOwTfTdjRccgv+DnCAWHwTWL
ckMtRtSA88eJ6Kn4F0pbYTj424SaWP4otN1fyLIkjsGHaeJzxv6jQtv5yF793QxdZ0vhmI7glOVw
Vo3A5xNRDDYS8zLPr+gdATshyhoYQI1YP2bWfZtBuUESbCGW8odguN7pSGtjpCVRr+2LLFn5GEoK
wcAdgwm77JcUwwnpj4hmuuM4i8sQQ8ocqfJMeVQiN3xuMa2QuZuuHWwsyA8YuHw4W5THZWYsd5Er
30uWRi0DVrwwJaaY/rs7Jj+ziUfsqZwzs0tsA1Ya9H8bE2tNNJZXPP2YoP3kiaxlyihsOJ5d9yuj
p3hOlUend0pMVbh27DGCtqScPLHy9NgTVFlMPiZmH5PSarLmIwOjV4Is7+Q0wMvIwm2JTcgB77oo
MQ4RRHzIlJPIj+x7E2vRXHZfZORs2gHPUSNwSkvfO1P4gFEvrxLsSewFNxXZysteOZcSF7CZaLRH
X7mayhmYKDanqEEaqapCyrVuX6hRc65cURiCcjwt/pcRhZuNccrqEX9X9TUl6CbHWDW54sq1/U1v
jjdcA8jfE4wIWLFMgSM5055gND4yS9/gzGYwpdxbZpa/xti5KuXrypXDC37TaVKerxrzlz4GxE0o
P1ht7Z0PgxiiPwa8yjWGDGITKB8Z0A+5nPrhNqIf4t/jTaxcZx32s563EdRw51LlTLMkk96YMVTj
kfmuTxe1crElCXP0RDnbSuVxmzC7xR7RnjJ4s2oQHbGyw5XOjUZJsdQ659JXjrleeeci5aKLm+hG
w1ZnJ511yUCUfXWd3EEP/UrjuCqC/DrHksfy9CH0uSlZTuLb45vaVcrB52sB0sJyDJcu9j5T+fzg
qSNAiElSjPvVjBUQCt+WbmSXGjBli36cSPPt3yEFVCtLOQl1LIUl1kJfVCoWhJ92rXyHYTlTSo+i
xZzOiY4AA4wWDE/GJH51nKfmvsbEGFQ9RnodK2YZa6BNR89b5X0BHBX7o16O2aXAEMmI+inGIGlb
9k2hHJOu8k5qAhclUD6ch8pZ6U8FTyZmywrTpYf50rSxqEz2fNL74C0YNLEyMWr6lXfTY9yUTKdI
Bgj2bgqNyOahX3jYPEfl92yU8xNlC9NV5QZNlC9Um6eXEKHC0lae0Yyf6KLDRkrLt9KxlYoPf6ly
mgJI2cazka9RN+DIEsqOOuBL1fDOdwM+1XG4SzPBnt87p8rIimnVWkplbjVxuU6eViw6fK/R3G2i
aXAOcVzLRSVQt7PExc+hcXMH+XSwWkiiVUXSgQcdwdCsd2Nsj5muHUdiOdaxB7NPn+YXZne7qers
Zeko3aNLXzJJCompKXtmovIWlXfJLgZ9fGCEPvoHh/czMK+UPU8g//+bkdFXTSSJAEYCQuBl2k2N
FrDNeSQsJ48PpeveV019arOI4YGw3qtKv3JRQLbJ6CwYqFsqDsTYOAKJtj43l4HQtyM2u1XOT/yi
Lvim04KniU3Qs5Vn5abUOIPD2EPfPjTIFqdwF6CUBEs/vdROXG59jkYrjTe12WvLKLKOcxdh5wPN
a7u6t5pigmySXEJwKs91q2+TxrqrZs7KUtyKELwOgUuEAJfuSxhWh8qJDgbfHFM+GlBb7+81ZxZL
hh01ZEiwQI3NQ522wfPgzM9NV99gHYANlGm7KhF4/DngFlbX31agkfCO8vs1NRybqmiVqHOZCDev
pBFwVFTgbf0rDrptWEc5jtX2bgrkQ2p0j03tAYRM+0d4hPpOGFKsdN2gtyN/dBV7kY05gUytMqzJ
sRPmvmmT28IxwUf3JWhE8SzTEQV9lmzsDOUGGlWQ2hWJEY3xMDjXsj3MwZOML6zIvEaLj9jHeQAA
eB+bOb8aErScojwZeNbB3omWstt5Fxz0yF/88xCzGKstLdhp9kRd5czxOnNjJlCWhVNMXrZVdjMg
PHLHjOM3ntbzJG7xK1xEJcmJcdg/ugq6pNfdoe5Og8PA2e4RJrnh2ZpMLJmlH2+NukG638SPRHJs
s6xJLguN43/WmqM/uRrcmh4DUDcC5xQmhOmK5Qrur7WswoPtexqabBUdIz5iZKbeNIBsl++4uKKj
LABwIGHJbfcxUQk0TRdTYnf1zHj4I6EGVSZOYErJ0IOhFaN25/w6BN3sXwmzgWA2axBt287aD250
yj6icHprmrazYjxFFa0Al0ey8WF25YCgjIrEL8BQDoCoFKf+ouk0GGUogR5it+KEUEQp7Cq7CMQU
MyNFPdTfzQlE7hS+cuUkC1ZEGEa0VQ6mykh1vnXeY2uKcpWO2dcRYc8CHvvW0BMDKB/o8CJ0nqIx
H7YThJS1rCOoEG3JWGbeOINGeoTrXIT8sKvXTj8IK7hJQWtpUNROceNemRV24rjPkU9l+j0/fm5x
0FzVmBwGI3Q3VT2yJnK2iae4JaZbbIpRT5cT1qIVsdFK9ySfCrjH8IVvbRx1Tmbf5359nmqkLs6c
7pE7b5o4Ow8KIdaWI/K26s4tra8crufOlwWqOB6BGE260JoNB5zYSqvhyhbtiR41XgBq3hVOZyx8
OGauTyObsh2EcpVO62ZkKMi5rxJYMGc0TrvOFRQNlw2Kn9J4mVtcAhnSMDdmAIb4+USR+9TAVhvd
zF2WubZGwLK0pffM1bIZpHEDqfOCT+4OlgL4RXht1dwi04mzoxRctRDd4qCDXVo+2pV4kgr5ZsN+
a40RUR5KZxn7aJo1VtA+pDgAHMVSaNl+Jo/Dao5jGG4qaaSrHrhcpChzjubc99VwnBGfoVJ/zWDR
1Yjr+LVPl8Po9btJAeuK0TnmwkPSlnMQwrRDoe6saih3aclEGOpdD8eGIC5AeM7sPCYyz4G46fMq
7DwN0WZjrAaF0Bt6H66tZRCglRMvCFnfWntzs2sVfK/Rk1eXNfPSg8vnVi2APnADWyJ328u8hsfH
6u4iU0iAErJfir1t6+cSDZMRdHy47MybrTvWRAcndvOtE5V7n2qLkTMWHRTdA3uWf7ce30XNKiH3
r9uxY/lWMsf7Oc5OfdGnXsxXkyRAIkjQaKw+CZrFL2wbDJNWzGR4/2k6hWoZaKPlu+iLkKm4v7Vi
/AkkEUZd5DrrqrX7R2l2luq0fuvE1MoD5QkyGSEM/q7vOuRPnMi6rK3Oi5LoXEMV9XZ1Ktmk2+6V
gPRLgxBqgTavcSeqwWcPUMlfQSy3gtXExBtNrJ6L7lY6IvS/SbxCDU6U4KVK80RfI6nPtAu+6TY4
CBjqYh0y2+HWSQvuBbyUEaN30TMZo/Ww5wwFbusHKH1xtyle/ORgYMb773tgy6ce7yxDkjrakfLQ
wq1NbMyuo9vYuzpsuHWLvMWIVMusuWLx2bM/Mam31iFLA8C5nrPS567X3m1Y8dt/JxEfkwhFlfnr
R3/X56Q/vHV/fPrV1/14+pHzszvQTbTL34cKn55+MmpREtqsFk2VMoZ26z+TCJ5xC9e8rRMgAw3t
8yTC+lghGjB5fjX2/4PZ7M8aLIsanZmGJyyGGkjEftKHdj0Ef7e05bnXDyH0s+mmbL8/HV/H/w3f
y/P3j9JnDep3T8BvHzGlmtSpfaF/wK5UmZEcAL8bdrBoT5K0rc6mRDnfLiy7RSsbmUZhniOde04p
u8f0ei5jxztFUeQ+Mas0wLnoNrMLPR8N0FjVsiUutY5G7r1s7Zjxeo4FjtbZXE5Tdg5sjVJO20+t
TzRBedvp1FxTJNZz7d6McbsLJlaCUT5uirgTK9uqD1pFjqGXvmZT+qIRHtJX1Z4QhSfERvjR4ugq
7Nq1Z2R7N+IDJ8bmW9O72yqL5SpjdrqNa6tfaqh2qSjlrh7Y1vVucg/iujbbJd/eU+joe91H0GyK
6kBq5Duf8AhlioVKKX8PKmCLXl51i1Ifgdu0zYbIrUtuMBXtq9QJXNDoQvTXsS0OrLnylbCKu0GE
h8Aw7puROaMRd48p6J1lNMmvrWMdJqspNnVSHYtolCu/dk1Ab4G9DMrmtolpH10LqHk4mcc8RDfX
teZ1Jokdm4f+SUtMgGXuuGaTQNSI0X2D1Yx9ODZA1dQlng/rwpWNta6gnjIqqpOdo5MqU3WcV2PS
0/1VBhKXge2oVc2PIi/3Jr/ORdlrN7ak2cqN7E7mPjWJlz5rNR2WIau9T814yjoplmiyDq1Gq6iL
mhWpF16G3VeTiZgPNi/OpbG0xhqLYVY8BjPBPEHt4ZgOxaHx+mbVDe52du2vVYwSR07NRe9aX702
BwqUxN+8nKootLx5VXf+HYK7b1Ysl3odv8c14wnRJrvIgOougN6VYX4ejPZVJAlJzBZcA0we+yxO
sbQP3Sb2lFrPRLtttZ1cW5ruU3z1Z1Qm90PYk2KSdSR5RY2CL9yGY1evSjfsl0WAlsgibGJgFj+r
ObHvJbcGGWPoc+he/OEx1WdMnZPzLWHqZItU4ThRm5ugX1h3RumxyLNmGSZxteRcuQ+n+raw7Aq4
u3kVZq5LqnAkeVjHL0OS8fTIGo6q5OfBbu85dQKcB2wShqR4t8hP2rCru0/DDKMdhM9Rg9U2hB0G
bO1bp3nPhOAgMGEJ6poCrMYYoHwiAMYpjXVnTum++tCsUyfXIKn4afiYX+o7O5Tzgg0HT7mfpfep
bvp7ex6Ts2PKu7o2mIZX79xW+zitMiC51ZvoanQBuKzR62AHT2VHFRknjyCgSCBhV9k6D4W/HrcT
467LvMRwqWk3TZ/4aueR1cScAK5aDdJjhzlSPvpVuWwz217gSV6GZoUfwDwyucjZCpFRSs5MxWdT
sWBPbek+RZ79HutjveBYg4JE55dnFSFSzAM960Ub+wvZxYB2++ewt8CVzuZNU4g1eNqbkn5YCu2G
PJiVo4UPRuo8t54NmkS/8CW3veudJ9rAue02zPqWEMzfcBtmmCqJ4G67dE3MyTIFG+u2DfB3bOpN
NZxcMuWamqEr8NMVmA8J5gQ5aEIJHWja1dQ1Dzmtxzow2vcWLr1Rj49a+273PImD4zJUS9x8GRBi
h/gxkKzTkn7StLU+TO6DGw7jtq4bY5mEdJC2V3XVKTXNp7y0INDOwN2HIgSQmHBuLdLSqiba19nc
dlPZLD3ab1Sl+UNat5umk09SZg9trT2jqjSv9d6ez1x49abJ6pfaEPuoMd/GwLtSDa+f+aFK2KHE
Yry6iuvBW2oJEd/5nPt3Vu5NxzCPbuMwfAWXoS1l2mcXDU5H1l4dVoUCUILVRc+FwW9RRndxXDIL
N7VDP7RPvShnfPIMFQJlP6l4fyT3cPegBeAMIPrXWbXUcFcancidk8AcmCZfrsMGKD6f8vYx8Nse
37jL+LHovVWddQwbh2E3iE4ypSLPzMzLaSsLPWLvVPnYm5CW4CG3dxK25o6t2hnY5U1rMbNwxDYZ
1KpMC0hkYM42O+KOpd9TI8bb0G6cPdawJ0YYcObCOTh9qkX+5NqlePhU135cujhykBk5bF1dW+2Y
P1+6DmN9it26P5cINxxxlXh3Du+aERMY88e/f63fVxHqtdg5O+iacCa60IPU/vdTDd3ST3eGbOXZ
C9ZB+lBPm0j7L66D//YS6s8/vQQxqlkm+0yeKz6YRIMsouGLVd3+P74PNjy6S21FP/DTi7QRbNKk
kPJsNnd1eTlqBBbs//4l/vhr4Uf16SWUk+XT96FwY6GwRnm2vNu83sw54a4SBtdLMv2XV1Ly+d9X
Xb9/JfVOPr0SE1E7d+Bgn2vGYKKAtWIc+hzn73rIDzNymL//xv5owREexlObNADgvyCpfv9yXZiM
c9MJyS72STDQdxk5RxdT/u/W83ubbfEB/ete41ZlTjZ/7DTUV/3aadA0CEsY2HJoKlipfOo06KZx
LSneMZ9R6vxfOw0TBaFgnYlDhC0kTz2/1x87TzKXTFakLCrd/4Q1/INOAwD+7x5IOm2syQbrWHSK
uk1D8NOnazDIHqs1f7qyHb/d6FpWrFtLJ0Q9NTECIm5LRnuBeAKEkh0U1VEqb0Rub22PjOO2mRn5
Rrp9ORbc00PCPK2HooODmHtqMtuNITofOTIRsmCrqmvDonuH26Sx1wztbZuUT/4skqVm61+LGlq8
iObrPCaIMZBlttKqgbs2dK9YxAzLohz0RVi5wJdKahnqUJV6HgILyI1rVBhgHXISnlBJrPUmsncU
HXCzTJg7Iu0Lj1jmwiYcMr1h9vAu0/q2RDlX5Yp3rCt206iNh1AxDubOr6703vmCj+/Gr/lbApEe
LaKLVpaBzWMsslUg/aNu8aMxjQwQ6XCtp/ND3lf3SBgv4qj9omvmFiU6b3amQMbEcGnZ7JV6aR/n
ynubKcJokVJSV4zhgtj5cgnPviayGgdCBAXCN4KvaWRi2PTKDXm0a1erCYqrnhJFcHeVPzqO8mYt
7el1jo0TykX+w6tuCJ4AyJ+YtXduP3LVNBWxRo4VZY4uMdpQk3kCtxq5zQb5zSTgMjKmthP+RpDv
PHtevLbd4aIY7YbKjHFe207IlnsmnVaeoOxRYdF+SCKyNKxHjC7HXgVK48NbDyMR0+30HrjO2jAw
CBlkUE9T8a13w5L8PeKpOxVULVRktUd2ddBMDscS7pAqqa5ZhLx4KuhaqMjrSIVfUwHYeEWxzxjd
Q0I+dq+Csh0HTwIGlc1cs94gSjsyEXkL53qU4SNuEn/R5e1FqOK3BxXE7alIbq8FKYPqpIPJwErF
JYNiXaoQb8aVzPhVrjf53ulH0DeJ34H0EDrWhIAjnnxhexZCsy9f3JGg8HbU4lWrQfHCgIDqskvT
dRVaMb1UTyQPWipE5ASPh10I+IzsvJlt5M4gnbxjxbrsC4wdwTijX6pxsODpx0Qrr3EcPDNmCtiV
5t7abp3L3DF2jueRlB36V2PBoD3TDHvpRqA3Q7p2h10gM27k+Uk2XpWjtm/KrmGnl34l+fsxyXFO
TPKcWP24EmH+ziF1aowQLo70Tuy99XWCyGYRtMVw6U/t2azMt0SpFdsqYic+vcrEPwFDuSWxGEaV
PT9ndUdkl2aHG89O2OGHjONRTj23ZX1thDRPTBXekxlIHTyZ7dxLd2lkGg5tIhoWfhjfllEo+VDH
pJhW6WMhy0fRKO/WYAElS74UTp/z6y9R05NhwJzePHI9PySNdiHC4eD5Od7G0QYFXB0CqOTLnlzY
wUatkfjac1dPW6UcKxtMMiRXYnQI3aduRrafhqa/GyqXWWHOKlsKHrwayMmVkZaexrB8jt8+boN/
nZAKGfk31+JL8T/Hl+79T5yQ6gt/vRmhYzDichzlbNQtpa3/pI+0DWa/NvNkRtE6s6kfaiCSB5gv
u55jcweqKfRvNyMw6w+vMZEE/7k0/8HN+Ad1JKoihJEGQxXdcI2fkRptLxGrE8EKK//chNZ6wtf1
6YfyJ70A7/T3pSDjRxf3NUIFl5AF66fazJFuavZu31+1VgKH/kHTr3z7usXnH5zlcGrF+u9fz1CD
+799RfWOPhWfxug1MVCy/iqp8N97U9gpzBoWdw7Asr2WTekdhs6uTk7KQdk6GyeZatyZIzcqWDqE
iiGBLCM0lL2jAtmnGn4QC0XyYrwIwUn2UHhoGKpGfxu09Js/ak/FnJ9LgW2JrR4Cl5AlEXlkuPqM
yFs3xB0i74vDnZU6W6RQ8YYSxdyEFSv9YBqJch4Rf7pND5Z4Jso6gFOvSZDXfXxDktQFaw1mYPFw
qdUBvyVEPnmA3ayWdIiTuZgceR2olJhAI9uoFOchUowqZ1/o7JrTJLyA1c9EXrtvNBEuhuLLMJvK
j7Ab3LldCwyRcWdtrco70OyPXMul3GhV026DaDqWDP9v3U5Hzd3YU1vclnXk7JyadSD5yjuso1p3
PTOUI+A+bxBkZaF12eFgPyF7J++57WbkLWb9Csv60nHkEaQeoU7xfkzlsfGDk6anJxbQjyLzOak0
TFoYUTaNEX9lpfMG5tjm8reOZNMweSSsIK0uu0Cu+37as0I/63PNaKtexeN0KSciCzwu/o7IAtaA
8qId9Me6N9YIdtmCw8SzM2aGSEnSU9wX5yLtMIPKUzqnB71EMTZWTGbSDgVMPeKyaodUX1gkywFX
vK+7Cf25pocbI6/6fd/LbpsxA7n24nq6hG5NQo5nIP168zV5ZUXeTds3gloPeCXJfhtR5Ycgi89I
Z2/lUNCn8mtB77MGi465qntzoesthJNwwci13wM3iUax8g1nZSFvpX2DGMraxpHWVjbDRmcT1Dn4
YoW+Ksvydi6scx7gVZDEoKOnSYebcYpuHAXioGD0Ku+J9c9ydO3mrqJuY5/bfCtMUH2Bv4X+iOst
yCC0WUuRDu+6DC+Knu0qGM0lJ9gecKCzNBl9OxozviA8R/FwtOxkV9v5dtRtlBHFksjmC1ryXaOI
XHO3Qjl0IpNtZUgN3bBzPRExsgigilIMBGCxzQeradXNmS/rtEA9ZWfTLiXqmbCfAj0WeDFz0g5p
O9+1FSS3KetY2pe3yaCv4KbxWAeJv+w9QzHrXtjJHss6g+GBNGUpwbxz5cuckh5u18cx8++lJxDI
//Wlty+mP7nv1Nf8uO+E/YtjsW7CVe/9hIUWNHU+4h1UrqYroPx8vu8sB/sAabGIYH2E+r/dd/Yv
XIPuj1SHf+wH+LkTRHbL9pb3QJOIoc38aTRhRllFgeV2pzx1ok1ZZvFqLHMm89eTMcyQ+GI/CmZn
bUWDHuFYHFK5tkVnCByMxlQA/kdmlV3U6kOPxBPYtb3waHcavNOjU5NcbWeRuQXhBIB6YVlZ3IL7
DJLBWGmBXxZf5sbprTM3ot8UK5e8bkImbVu2IxKJOmlfXDw+84wzlWw5CH1jM/gta42o2SZt5R+j
Wo/24dhwVkpp3ddlhc4G+2fdl4rbniYsamo5XBBlOm1gORcnF3XVjXBS+apjt6kw6Efh62A14yZr
9fyShNWSxUAZnBINVD1+rmhHLw/tw5PmdC1cg0zcvpTHtHDlSSRDt2rgFpesnFWCqtG8EKeNRaej
aVxGQC/3EcrMO0PW4A2jwv7qzZm/HaJMsk/h7EWbt800y7zxZp3ITgV2znp9tOjWUPnbXQct2NGn
UwPHYJOC/NpYlYCy17YY+Flmma/8mrpdjawDNUsF8cr3I+OLOVfzOZrnBFWd0RuvKQ3VRV+34X5C
kv9k2q2JBcwAHlYxBp69vL/q+/QrP9JiXyPnvhVtjOcvgXR2tNCvsIcvo9OUp+EqnOz4ZMdtu/XJ
r18ns++d5pq5a14XzHenj74snL6i1csu6VLahz4v+03rJwWoiNg44rvMZpjabQqLmGpfjLVzzXpF
27D9oRuJzWrV9Xp5AWFm4PxMDyA/ZwhIGikKtNPfpBVlO6/Kw8NYxhbvLXG1Y0zSB0iyFmNfOQE+
7jpCJeqJfJAqRLFtIWFZ0NsyD5sNPzhkjeY8sCR6hBRhXBqaV13x9oONlsKtojyCido0+tU0R1Cc
PJnswxjMZQl/gOVFNd1E9MOroZX1eor7cR0Oc7BpwVmE3wvGf09WVfr+9cl6273grcte+vZPJm18
5Y/zFRsvsTguehYDDb+rtua/9hMM4fgjg8n79yncb+er94vusgEn/RRVM00FB/aPSRv9BJNz7HEm
xl8EXf8sHOcDq//b6Jc63yNmmbfg0fTQ76icgc/Vt8YOJG3GrLzqJwfve4IgMDkJ9M6s7bo8O7vs
Xbplntknu6rPfeRBc4Ve3xg5y2VYIrnIL2ujeaaeOmRtcQNyb9VpLIHNJDgiwT5Cg02XHEXb0ISH
DC/4MtLlI5/79w+bUMnqFDCEU0JGnzcipx6P5ow6IYLCalFOZDzQiFHw9XgWrLWhEK8GouVxQEK3
kQS8MHMAURCjjXW6EFyJhmBM/1Bt5R8KruBDzeUM1d5VAq/a9Q/Oh+bL/NB/BR9aMP8jALBRWYCJ
SgXsBxUQOHwPCyQ20P0IEMw+wgTR0Wgrv/WaZMcZO8zrugn1eo3MHmQFzszX3kGzI9k7uyCgll0k
t97gN9sqdiBbleSySzSKiZfJjdmXnAt6vTSQbDINi9f1DGAg8s11GQz3hh48aM2871ztZmBHV4BG
seDSDlp3OUr7ylcSVa9iHJUZN0DwXiqcmVnvaouy64+9S5yoq1U7L3Khw/jiZsARgs9kTQF+Ikjt
mwHaIdfkTsTdgQiSXRjUuEGKU26MJ5LQXvWpvfE5yozEuU/9ATa9uwtEeOVEQ7uos+o2q7DKFkqr
qW+l3d40nbcyR/y5jvWYu85C9/HVee0BZku/9HIC6hL/WwHxwsqIiJX9WpYencwMQ6Y9BnF7xlLx
DEl15bJSw4ixLlCxzmV+Ba8EbeJ8KuhE29F4nGV5hP67sPLihH5vWSXI66PolATlCcD/xWzaG+bk
h8QGyOroXww72WDHPlZm9xqWHhGsLCZDlz1iA2siF1vPGS8BDHXKSn7qQZAjBz01jnFdT0TDz9q9
HZn7DKMttx8BKWm+b4W38ODc+EH97luYy4rs0U2ie87rmy7SNkFlX4Jb2hBZcNITRsbORLKuNb4O
vAnIx4QxFYIs0/mA8WDZAFkJXUJR4vFCjtG+bJmnelPz3rgGmuXxppnUcC4c7GsaAjDxMjo5gXWc
SLi7ajI92edpBgsf/YVaxEIcx0Dzf+ydyXbbWLZtf+X9AGIc1EDzkQTBUhQl2yo6GLYsoa5rfP2d
R5HOsB3FHb7tyF6mU6JI4hR777Xmqi9QEU+jyiPVu8Y+G1qFWeNYbarW/TqH0w3+6Y2R6yfG6dep
7qzNhIEZl5y90ev6GXoLj59ubaoq8PEqzoT0BFyIkJW6U7TlTP6QjoGnKzreHQMBjMZlgQirAidk
bkiSUDNJKDUhDpF6DgzjzmhiEMkGSbzJxDc+JO5tUil+C/6/gje7q6JUWSstqU71pJ67pPdT4opM
erpibHuPp4NvS0aiu317W1PvrgujRTeHgDSaW2q5+GIE6UmvFV/VRy+36ptKQ5DL5ealYmS81RaF
4qYdN0lA8xh//hX9574E3LIBuUdBn5JJEywTWeqY+EuhYTbgfrRCQ3HKYyLn0k6RXvPHzjYo5TWY
l0q+3PSqfga0+NXSa/JtHW0XVAUeLTI8VkUy3EGI/9S51oH+5M5R+oxMwaIinnY8my66pMFgB8gV
ppVuVaBLrQMMoyRQbZnDn8qaaxQSpkua1h8HC21LFE0fQsvkeVdjvBZ0YZ30EmR8NFHNNVBvko/u
kBdrN45cBFTKeKLNmx0j4Kjrf6uq39V89Pb+/uw/vjZ/4bJW+Zlvp76KB1DFJmRaNov3vXT676kv
sBsyfDNJzZE3Ao72b11ESqd3eZ0qOI5/vyt8O/UNqioyegQaV4uxGE20X+gi2vxl37XcOPSJg2OQ
h9LWojdJK/PHQ99Wq1Aw0+pu7BacRgr5CNZSpGUbuzZc3x6cz6Q2jdu6MuGKzktiKIe8dXrCHexY
S55iTe2DSxSUfb3HVlvlCEaSUXiVYvb2bYVoabwtxuqm0tP4A9R2YDaRvtjgdBa6L/BXn/XMpIAr
5tCvRECtFqJsCOZVIcs7zViibfd+U63Nqen3RqDkgJXUzs7ap5xUPMQtE9QeAPB6b7Ux87xiitVD
no9LeR8uc6qgtwvkDQYaqu/qISZsG9L8NLDDNeWY+DidapwHgeoPqaV641QvPh6p5hOxnL26S93Z
Wjy97WfsWZq7TF7Wg6A/V7ZU+BZGpZCYUS3WuZ/biNNAK617bHANq92u4KDgYvdV9rLuPtUz8GEQ
TLLLpFmRxvWD/z6Hbfm4jIaLFRK0Et6yKSrtPfE4uvi9v/rv9Vyl5/APSzQuwvbPN3P5Q/9do+5v
BgAb1qKK8/fnNQpaB9MtF+3fp+PflqjFlZ3/2PQ4aPa/N7O/LVHZ+GDV2oytTRs/8S+BEOwf+/By
iepg+CBnM4OwiOuSS/i7rrga6B3wXdu8iRZFbz5qXMPY0os5VzdRpPQ43JJWi8+tk+rE4FoTvIIx
u8o2oUvmDP6ueOqIVrRFANXEsVqiwMtm2cz2ADWuN1sWVIvYfNQz2nRlVi7ptST4qiIAi3nf8zRq
HUo+/Wa2inpjFKRlLfbElamOvpQ21nhNZmohI6DHJ5T1RNwW2tWUozGdNyNRXJEaPFKrE85VigSA
cvYe2pWS2r3OZZIXrmaU8kSf25O1Lvu5K86GMlu7GY5dbMQBALhsJDMesnZQDNUXjXT0cKCl2Vl5
sFarYttOSDLLnIZmouxwIHarqSm+CI4/+hXE5JIS8TEOlRftXBX0xQ0oeDoOVTdbGDlnwQe1dq55
KTx3Hvxkuaqd9XEc2ge4RJ5BQox7/vesfD8rpXjk7xfimTjw1+Z1/vNalD/3bS1SJYOqBxNLc1mi
RFmm/z0v0aPAs0JmZTGWeudg/bEYXXQqto305HvXh/6+El2bJU19/L5+f+WwfNec/1Aiu3SpcH04
uo5gnT3hx6WYV3TbZunDyvVl2HJgYSYU9pPNg1La/YPGg5MuV7iTWANVT+Ox6rvwYyCfs1k+cRWP
Xs0jSDglj6M+ph9z+Xzi10v8mUfW6oBEzsQ6QAjciZCeJV7JrUkg1zqSTzxjwGdFrgFVrgZdrguG
4cF2YamMMfyRIGwOANphDMoQBsIYCkIZFqXDwkRKwxjXn2diGwiW+9wQ4zDJPAerm8749Eh4kFkP
FaEPDGhC7FXkQJBr/RzLZIiiUgNPHU38IMRGIK98FjJHwiBQIpDJEpYD25CoCQjuNy4C8ZkICurc
lECKWiZTmMn4kdy5J6KodyPRFa3MsLBBKLktwCbyLVSQonwTNxO5FzIVtZZBGNhavpbgC8DB1yuq
lRs3hhpaxtregMjHMo/mcq1p92F9brD7delTLRM3+BN9WGIQFQnjyGQqR/eezyGTOgKD0B6T7I7B
cguZSe4ngXKyZL5HKZM+glhWosldhbbBklkgBmMySQvZ1bg6GpkX0mktwaaN8BuZJYK9/3Z2XOyn
WHGFzBuJCv21i0kgyYgiCZDrtPQzVq5NES3TSlphnSLk5CUxJpMVuPSg7RNC4QvK0JucgaWVmCg+
UCyPIeZQA9CfCdu0kykpmWA6U0gAQ7ig0rBG5iiZzFXJbBJWYpm1gleTh03mr3T5cut29mezUvah
QkILEC4UNuRxatp8HW2LlDmVQN9af5m1pF5DkLwr1DzZRHxzSqV/NEuGaejGPQFo7lQr6j5zynOV
IBLPp09R236pajqL6jgHm8Uiw6bk8oe9Ek8xeK/9MBN2ONTpQx8jqlocQs4QBF2D1tARrk87PFDl
tgnheZIpOyIY3uugdEAtOG98H0fMlBejiQgYFgB0MvLf8B9Xg6MxStLvk6V4ztT4iHbwXC7asFq6
4oDb9SRwD2g547hMVHtncL4kNJLdKPQtAyGU5YCIaON75ssf49IiIaA89I3xWlrWPhXhRRHFc9Fm
H60U2Gq2jCdDb46yNdMPKYKPdLpmuFWngIgfJmzFMu4IXtmrjbGF54KlKjqEhqDDMuvHKhuPYytu
BQkO235pNkHYPY42Y+nWWLZx010QJuVEstqHxtXuzLg6wudn0gy5c87yfs/g4WKI5oyi7FJUw0sb
z5z1oXbflu0DiXPHYErOfWRsonC+K0TG+JNFn2bRFrDDQ5jaPgmDu9yKnT2JNb41jLAl7O6sF650
1upXIwn3Bn2NXBnINabwjPpmP7jiUUwj/g2RZYww+zuARcTJY+ZfbKRADMwf+07f2T2M2LnbcPeG
J+IUZz2znhfH9UcFgqdLzlQ8PBVNv2tN8ba0jAPjWPMW8m9j2FHo1helyO8wosxretaZtnVKchPn
SdcPdAUWr7GyoxuCznDTPXcK2LnkxePyuRhDdgzCGdJBGZ4B5OWYaYsvA2zNldJkDKVdvy7dm6Yg
sw4LwzavheqRY/ApVvvTpBoPeqrcqEFyv8ivkLzyL5U6sRpDT9dGJDzKwySGC6rlG5FOOHOlpH4e
P2tY7BHnhTAB6wovCN9FoxIO14exXzv5cwXRbXZpZ3Rxg6mVOAowxpvWUj/ZNPtr5rpRlMip6hVv
OlmVxgesHfi2ly9JZt8vZheeCrOuUE0Fd1VenJVCgNgn8NJYzGe1snymOStDhwSSdJbhjc2k7VIs
QZoWvqYzBCS7KAU6vfmkciHdqsSTbUWs+3YNzZmHolpLecXKCsWuzfvHdozv62I5zX34IWjaHcZ1
ovJG51MBdZr3TEBV9tDV0bCfjNs0TTeJGNY0//DB55NvGuVl7MIPsVjajWMNOyVb/G5x8Phb1yVT
d03o8tGoF8w6BaLr+Tr02j1XPscTaA82DrSl1aCO10q3zm3Gee9lLeAFrx/r+JOZxx2bv2UftQJ6
ZI62chvV1iqvF3sFR5LVuZzq2EaT1fCW5rnakbjo22Hh3jpQZFd5NxTeogD81QYsR4ShTKsBXx7I
bAgQOKU5YcinInmegi2DOkxjqex20KwZKWYkZJaDOxwQrIGKVua3omn3Jqt4lQJQXutE0q0s4B+e
mWUPQxlqGzFbzcaOiGFWo5aWK/N2RIh5SL+tqy5FrXaPiWqDO8HerAAIGZHRjMXCsGapyEDMDJwN
Q26oiLqXbLOoymnUm8NQxbcaMYvGlHgAVz/ldXAX1tiTai1EXwnqK3N6Dyz0I7GJydpGetCoOBiG
dPJ7el+e3nVfBnpXauo8GYF+HsaZQyZG1DFsu8BcxXqLnIDoXMeOPrOzfuLGvAvG6CLM6TVI9GO+
8DG5tKJ5kHDGKNQXi3m045wGbaavLTsHtZOiOMkPQ88Rjd/U2VhNcEkEMX9pede1KRb4fNnjmzmZ
U7xDv7kCQ7nP3XFlliKlGgcbjqni6o75fYcJZyjneZMXxQfIhgWtsPRIc2wvAIVQvq25CvnaVO87
hA9KyjjVro9h1T1Yhn7MCgxdOiet7mxTp3qRSY9JSjcz4KYwm5W3BJFH9OjarLvXPHJPSsGUj4du
wqnTu9kLxVe4apkqEuVz18hAOS1euyg46GFau2gS920KKagr0BrPEzHbduiBatsGTDPcABxbj0K5
S9Rd3muPg2PghFGnLfGd5AApM1eLeoVKsWZ3Tx8zvV+HqhlC9NZoZmLm7cNsr1TJJ9cNfN1ZbsWg
RfQY1Q9E8m71pHooEWJvmEUAWiO8JGjKAfccjfMu0m8QSt4Eof4MTMXy4qTyjMD2Ezfeu7Fwt2Tb
wINbXquZ6KCKvBD29+5kaTwsYTma69Gx0SHOleqR+uFcSrU8FAbg3wz/b9SJa2ZAo4ewvlZCfdu2
BJwERPWtGobQu2i2nswxme9ddhqodNNpwvW/UZBNTnR2KsV60jSGlVVcP4qB64uw+m3aDtm6aHnX
TkA2mdx6ageBE0nOu7BByGlW6bmCmU0QJMYbrTky+q83moXWtW7yN7LMW66IZNgY/LeZQlMd6vsw
nio/W/L9aDMPmLv+tDTy1DaNx0lloSXCYew0uYzcZ+NGTeMbcujXRmJEeDWX9lQFzObjSX/Qwiw8
jKC23TZ7guFm7ORyt/QhWrkFp3naDPqTE3X3RWVc1XGKT64O41Wt9mElPpAGu1pKEzj02PuhKDci
T091KHx8hYA1zfytd0rkOoxAQt35kHblIe7ISBws7pnj5LVa9zir9Z071aQjV/ZNooY3OY1wyKsz
oufkU525T8bEHJ59+GjqSeH1oVVutc54whC1d1sQXwlxVH4x8IuVWt2WzHVIuoeMlGTwutqi4nQM
jVzo95OaaJQRDRHREK5nQ0vWqW4pnqbGAfDu7yq+v9AUUth912508AszqrQ0GqFEeyMG+KmA0mIh
EB4UMQq/alUU5xaAlmvc//OL/GQq+c+LWEg3oaoQJPNTwyQNpkbHyhVfxLxXirMA9KoYH7rxwz+/
DJXon9+LzTjXkARk4fxkygmEcKkCBBd37W0sPyr64Zd/PxNhlZEsw1h6UD99Vi2dxxIKUnYpRh40
Yo8+//rvh+PCJ8QHZeIZ/7GYDW3CXHWzZqJG3WHemu7pn3+/nBf/USz/57v+7vP56e83rFSNFLbS
CxmdqMRSddvYGxTo0yskul9+KfJILEHuHanx9LR/fCuZE4qFjm96Ecmux54Mlh/csAFtZK1Uq39+
Lfln//S2fvha5CP+XTtOqHE+EBScXSo6SHBlqLu6DXvqPGz/+YX+4vP74YV+elOFnbhl7/z+QhCH
CjQ70ZZzRB7F1f/yrP3FusSCpwrsPLqjA/H+8U3pJpEgHLzFpSWUPvs8TPCGX/757fzFcvn+JX5+
3JbW5K5kiuJSOJ+T4MlQ/g+Ps6saNHJhm9N4/WnVkw1vdgbkzgvZHqBBgHD9HzYvoAr0gun+aLql
Ma/5/psH+8X93lLLy2J/Hu2bnuGm6P6XveuvvnQeYoY7Bjh19WfEoxvltCiJoL40XPzmtQNBwLwO
EOeqDSzDf/5G/uK14OuinFLlaIr+04/vBzApTTYSiS+RrKm9uGRy6tn1quSOdff+Uv/OHlRW0t+3
PE+f09c/tzvlz/y33an9JluJyPLkty6xNH+0O/Xf6FvyKJNlSctTMmi+tTvd34hB0lAE2fwjXyG/
8NvswfkNvwKHBQFN3Fel/+AXOp5gTHkG/tjtGD7IsQcDCEdgOCS9S/77d7sddGUGUXVhXtIhC49K
SBFyP03Q73ZcjlNgV3L2bZO3UuNexzOT7Y0GLILZK+YuDejF5EzGMeUJl+jbzBHbqQerZtgM0nWi
pR0TzMWInBn3S3FQeBrPtkTKTxnsy5wEGqzSW3dxXs0EnclAa3QTBMYCOjhC5DyNx6TItorDxYxp
ZH/XDe1eGybrOZtcNOBJ5Hpgr/xMlLsFO/+ohXe1ylxdWPOyaTXYA0Xe7LpFvXFb99UO+musO5el
dva4o+9jB7t42T4qoVMdi6A81hFhm5ER71V3fMy6cO0o0X2umR9B/00r9tYIGadeIUgMn9hH9rpT
eYkInkig/9xHOhXDUEMl7IaRfM2Yv9mwV2w2w7ppKhsHgnuspW0hbTRQy9lNTeoyoVbhuc6xHkXd
pSOmhyxMarKuxLA1gucPqkNup/Y6p34FKUcpSgEEknblLgWZSxpgkYoyV7dnaHrKo9NE13k0aCd3
yb4P2cFqu10YfDD5cQqiB9TAImyg3CECfUoZyiJ1LNem3ixbGgJkXlbRS5sPNHgr1dwU6uwTaXXI
Qlf3c0e74T6s4TXLog1mP8xqkeHpzVtvzWJnpZbrBWFNwhxdZPajN2WiFuMyd6kld2iJoQ0Mdv3B
aRzlpLjZjhiqaxa2O3doBkm6XSddZa/NsEhXkwjn55kK2gmNrzYCUQ/qoYt0aHnCwHkwQ4NKaLnW
GPaHBtAgN3twdtEbcazzltxJ4mHahDs1ivV2IozCUFsG1+Pr5KAvUSjL1lEVbhOtf5kjHAWIkbf2
kNImVfn3pJGhRIBTv9Ar006TaWIqyyXEuQNjk20wPBo+79/akY0N7zkwY9jPAxBze9U5NtUTpT7f
lGYDp0C5Ql9BfuILvOkVcDa0QF28BTwWo4FPaU0wOYt28yAuC4sBHX5i+1BA6Z1I4yHTuYOuJ/qa
ZHVgr/zMElfKJQnxntqTKGkCDHCzzVrHMavOMKn1eNpD6jBXZl3GB8eZFsb85uiRcE+ZHI0hkrlh
O3b5i0NDtB6AyLJJnfWeasR23StY9nDTZslNbYHQ09QHlNTzfaMq6VOhopvRatJmdFpqatBUntPx
QDaWnnqFLPAM5hsw/zHkoIteIUjkudFcZWMXJIqqYz/c5IZB3GeJr0KZz6k2eKkLY6SvG7JsMywe
Wtx+aXop6qm01aA3e/x4OtoW56AQhXJQw8zZlFAuZdZ786whY1iZBTCDPoSUa8jZYBHZ2SaG40vj
Issx0y7ipVa1xyTPgy1ivpHm2uj4xTKxK6WZ6Zc5oT6tkggkAnW5UjX5/QZWTlBFcKzdyAfRdxOz
otYjUcOJ21yjkXctYB2rYXlUZ92PcwycpcsoIlkaVMWus56kFE+ng6N3SwbILqV1EM3bvMgh68UI
HBMa5qVDfkfY0yZAVheb6ZMYGr9X2vslHQYCKxu8uGSUFmp6bvsGvn2fyyZv4wdVtbP69i3Ug4g7
atmjoctYsLBBtLMz5R/yNslObjTcFnyiq9IgMikvaRWGOF1RgT8w7d2ORnXsA+d1KjXmDGV+6FLq
01CdfK79v198/r0hSG/8P90Q2vb1ryRE/NS3OwJYcspm7p3EobLUJCThu5GoLv9nhidY8b+XEL0D
7+DjCRKIKB7fp6Xf7gguHkXb4jdyUUDEoDm/ckcAEvDzHcGEDmCYJjcSSlXyH368Iww9RjqEB+Nl
HvUWFvAQQKvsZXJLOMeRl2nBsVtwt+JRHIb0k9qrJBCgfIq7fbXEAgEvrM1TC1SFht2kdZDzxqoo
oXkW8P9eJpyIZPtVTbB4XdiwxWGi2E3v9Dz3naQ3ty0UrO6dsBfMy+KiQn1H72HfQKVTW6G2MJR5
h/QtJSCNld2Hk+rlWtgsnmGrBDAEzruUP1X9XqQkxDHwMMyPmUoG4tZmm0HpxIZTWEa3q5Rh3k36
3Cdvo+5M2zDBEOGFYQKWg7G22BGpEh6gVWdfYrIbNi6BycpqrubBUzJaTEMecz5HBOuIHP0y+gfz
y2DiyViWHFoOEUh0iuvQ8M05erNGhQjxwnnjpmPQfA9zz8bI7RMELBuBfeOTFz0eo5BcSEduqmFM
GlHWAWvFN4AKwrZTdukubTa5NqSrRig0Kk3shOoci53TGNxDgrH4rDrS6bCU4aFqlAzKLSTSbFJd
36mK19ReTF/P9NAjvcHw27KjKYwQmmubnRBb02e3qYBgVaMtzatBo1dfj56DBXAVOvprxIx4h8yD
x2LIdCyVRu01ZWjTDFS+VAg7d9aS0ah20QBHTfNmj0HgV7AUaR5z8duMDYlvWafZPvDu9uCaIoEh
HSU49BmNhqVVHlLIAXGfiA13ZrZ8e5yvdFJNf3TBfbcyDrIcc3rijeGsxp4MoWJp+DMd/TErUo1t
LwlXTWMIwA52uCoJd1511QAPEQaPr2ZWfQWaRU5HOHZXO+ZGstCjA/gGImGPByPbAnmkdzcwM22N
qfIm1e5XbU5sXDAV6U4FwLtGiZbv/i2s3rUksj/w99vmLaDbz+2fSyv5U9+2TRmbhmMMlQaxDcgc
f9w2gYSyaQqNbsd71fWf0gpQIjsYzSRKEP0/eMU/tk0Tm4XpYv2m0SR1Jr9SWr1LK38ordCkYOng
r4BxCpv0p/6bEYUF2M9ZvZgZeIZdPLBsaqdOz0Q4rA2pj4yWhwDWhFZ3mT+G7oMCt2OVE8hkEtXk
BhmWN8Kbmq6KPL1sriQi+q4hOLIZqRD3pBP7tPSc5spTSRJUEG4jJ7yoMiKqjAmLskwp41RpwaYt
A3hqoq+ZFCLOvQmJj7wpiKV4XAky3Rpj94T4fgdUjnAqc7iNR+KqIKHH/Ls4LjLKSmMCiqvEYuvH
aK300L8a8RqTfzUu2ldHBmKVMhqr0ab7XIZlMb58GmfloVlIxIIftkmQ2q2HhWRQa56PipEiQCN8
a5IxXBN5XLYM5pqC9s2UUV3D0r40g4o3jBCvRIuRh8lgr1xGfCFzfhHpoznfRq21rLDjAUNrdlbi
RpvAJqxnfI8KM99jw4pI1+mOAz5lfimDxdT3kLF4ahhvFANhXnIFcx+XdHUFmoRc3wKM/4qKWfbr
nWwr5D6ga1Qba0vuDrPcJxBqsGMsWXMd5C7Sy/2kkjuLhqgWOA27TST3nVzuQHltPZZyTxp7jIuG
3KfKsk29Tu5dk9zFArmfkfw1X3k2SfqQu13CthfJ/Q8xW069YMTnQO6OI7L4Q4Rd0p/k3snUom83
tdxRlUgPfIAzb5rcbeuo7jHwsgOT8/pl6Pj6NMeVaHD2aRWb2SqWezdY0VdX7uY93kUPNQJ4cGkj
kHs+jIvs1tFD0kDfTwRljslXINnOkOdFOrSm70T1ay7PEmDsMGzl+WLLk4ZPDj6tPH0cpIQrTZ5I
gTD4bOQpVcjzSn8/ulR5iuXyPKvmgu25JfCylUcmTLbmOMoTMBw5CzF+kOUry4qqs0iAgBmNkdh8
o9I2sINHb3iCdL99P2KFPG0Tt4K8TQDVF5FTf5HTil9Hns8g8DFqVsZA0SqP70Se5EnRc6bL071J
NLEbF2o1L3o//id5E3A5y5M3IkTmnQM+4lqqNVMrx26PXQAf4KhX8boR04cMOz9iHjgDBdEhCJ/q
T7MCTlMsAVhPFNBeG8H1HtonJawfsrKAjOjAnIvIsAbERVZfIrgT2XPySS3K26Ru4+fZZTquRWHE
TN8hlBVAaLXQ0CgQRpgWnOCysOs9RMzXKBueexFgmXKi9eQqb2PSSQx4/KQryQHB1KO8cvl6q1hr
0DVyE3HPfBT7PnXfStYpwJ6Eq4jzgf7Tba1GB5oB9qpoyhtbGC+a5T4MmUIB2Ey33dI4e6dpduXS
3reL+xEGQYCYkzKl7iFaJnPM9SOefZ1I0XVSoGhw8uI4hi0Un+guFLhz7RDnZZ/p9dEUy2eyUuTN
UNsRVXpI7eDi6KAJyPHazJRVrBSaSQUP22qOs2JlIHb5kjhEGlppl+xCfWAgbVAxTlxVDhbw3ZVh
lZIum39xW5M9SwAkxbxxW47KvdW2o5+kaXwIUTOspjKsvHQeHf4kzBYzESfbamJPCsoxvOYMWlYt
y+X6fslZBHBY5o/JrpPi+SSIXV+0VXyXhU21cTQUIewwPYwpK1wp5uT6laGSQ5BEDksbpYII7NmX
7TIvIGCYSXlueO6SkM/cmG/tHC6b1Fj2SD8u5F4ecz05mf2Ue8QZar6OmtfTRRVscdPG24hCAOJB
oG4MUdLcsSZzkxAGGUf0dAKEOb6mS5wBEbK7KGfVaiN8wawA0W9FGFTnil1KSJH8WPBOzWYwd9EA
j6FPVMsnnRq8Tw4ttMYnTEuNiyrbVP97u/rfClEOEv7+qnN+bV5ev/75qiN/6vurDi4Shh4g9H4v
A7+rEDWDC4bL3UXegxhnfesi/zmd6r9dZOs3SNE6dBuuT5Se7i+ZTLjU/Fwhcp2ymGXKu47GxPSn
q46uaChh6jS9qMLomoPbxaQ7x0heFILOUlvasxriXvo6qbGtEy+g5YTg5btpvxdB4hfFO892lXTO
p2jG81HFwwfkuc1R4FeNHgMwgkTw0RicScldEwt4mdMUtRUV2a7SzGwdI2Yv0/kyKcR9cMn7HHDR
I7ojPVZiuS0s0gvsoPk0KViwTVSfvTN9WsT41SKBttJLfgEu9V04mRhBHY7D1r3CLnwbStQbEMek
1FRYyHe69GMABJhDZmEKOXfccdSLUwbXMcfebsmQ+ZDMVPTpDgpUCso8HXeBpT0ZFRS3sZx7tkTa
QWVZDx5MnmRHrnjmuUDOkCgFlpfX0WOf1t2mQCLhh9KjtlQCgUhUYJVV2MBXo9VFu4gbBgEQFZnd
K41WGh11JdtFkWADMxLIdqqaHWnsh3d2Z08P1oDvp0Sps0JLb15iRyP9UI3Vm3k2QFAb2i0pf+Wm
aJGeWrXd+XB2221U5kSQYzCjqZQ4cFDrbldgwdvQNeUKhEpj1UEgbg+J2hTXANng0akaTLk5KK+Q
v6Go44NhK5a6d9NWSbealIXNdqp+UWvd2PSYfe06Sc4R2cE0oohATGl40WaU7NOtMHM0jC6hNUQ1
0X9v0tes7B9qjMWlEOEmx2qcAT5bM20DWKOckZjxIGFLNkl/maLiUGFX1pT0lIwx8bcacWLS0dxJ
azMWZzJEQOFMfUe33E5vTc4qzaNdr9M6NqNkOdN3KVaC21paScKKMQT7dI72fR7gSg7KAqey5nj5
Er4s08j1lL13VbkyCp7u48p0i2jNtOTFFBxZqAzSNc2PdqNHk9eTX2zn80cg0BOhAYW5oTxAWzvT
OuWWe9NZY75xhFnuGMnExCWG3hTz/6Q3vYpU17MJgV+nwiQ+xCQHE18sGStgXzZiEje2iUMrbcyY
fT0laRy2Hnq2Yd2ZmebFCPHoS2jP1qQiwpvLe9De8cqdRxeQbmuTNoYKJpZDCAHPoLXt1zwIvyLt
k0K6bI1TFEunktz2JlSYedA8VfT2um/n3CtV6YsqR3fr8OgL1YDqK5qOmQ7yR7oZ7zFccWKX6aFo
u/LDv6Xye6mssqf//flxKtv/9/+L8DV7/Yt6Wf7ot0NEOhWZQTKxI1pDF9Lc8O0Qgf9C4iByIlun
C8no8Y9DxPiNMACqWDCuDAl/4J1p7yZGOpDgC2zHpBH6C/UyI80fBpGU5IJpJIeSDffsTxzQhEu0
MxZuctPn3sJtM4h8o3747oO5/b32/j504Pfcju9rcvkquqmZ73HqzAv4DL4fd9boGvEjwj3oSjJz
NqUjkF2Q2uOsA11LvURvG5AdmnqyQ8Js+ipK1tmCuI5J3Z2oomsWO75mRvFpFIIxo6qYa9XpwZWr
sViLMNqPnGz9EJ3jwd1VvXoSy3htZ+1cL+UR2dIF/+VBJCn30IHw0UTU7taWNVPQczeNNferOkWU
6jAgOQ3TiRFA/xbjjUTSZZEO2xAz6lIGst/b8LhQKQbWYVSW3A/GyQbH0JKk6yIsnPqFBmvaFYDq
NeNTgCPHtzNTf9ZypV0p4Hr9WKSR5UV9XWVeOaPjh1AG+9pJya4NXUiUe1UvOpshjHND/NPMVKCn
wwedIaIuA9TofFq0GtNCrWV+oyyW6avlSJ2/5lQSdr3uzbybgxWwROXi1Jpy5vdXBKXIcHQkmSWH
scNgYmP1jO8gxWQbjsEY6qORHnpALM4tr9fqz+YcUmFpc0n0IxEFdyVYhuk2UonhrcPZPbqNZR8A
7IdPAtHYA3FYeFyzebk3uqI39txA4IjCdR4X+AgDA1Ac5u7HsnT0lYXD01N6YWy0aorWGaX5ug7D
GdinOdy4fW97HZ/5CSlV+7llJj3NCOXnCZeCW8d7RctVDzEcGuRsGO+WgfGQQGrhlqp7B5xGXTHz
iTfO7AI0qiCfTamBAlbFfRs/IGUeTnx1w8aqYwTxHTa7FhsvR/kUH6yljzyb6ZrfdZm6LlxOhTYa
NEm9a320irvRKOD6T2DOQuZhNGPzM/LT89C0xTZv4qtRmnsn6pNNYGW7Mi7STaiL29Yd7zvVHj5C
e3feiJhgjJ5urHGy3kpCFs283aRBrX4QSr8NrW7LkZp6roJU02G4NTHka63qa9t2r0WMGQxuAKY8
Ses4uFO+ZQOh/Fp8YxLn2Rk2utvtcAMg1CStvRm+CLNn2q1ss1GlVYuiuJ9fyOKlxfsSiF7djFam
0/AO+SPM4cm0CJxaUMNbLecYg04KqXE5abm210PtbFU9qYDpU8XX13Y64y/H9oLB2oaas+vF8kQr
yQvzgLabqHFThfB92kLsE5MEYXVmbmbbt7zHO7Pvi80ULyFj7aBdG4OIzxH6NqBJ2rXLivY81t0x
1CYeZoIJs5pcO5LKeMry+eiyiAjuW2lus5kc5+RU+smYygdl4XZo2ve9Fl6LujpBj1oPmntCnX2N
XIbqWuVpRPoxWPgf9s5kuW00zaKv0i+ACuDHvCVIcBap2dIGIUsy5nnG0/eB3JmWZJcdGb3NTXV1
uCSIJPjjG+49d2AyEsMPDXpQfRUkXr+SL2Ipfsxj5REAxS6s4z1q3V3UKpcTOXyJIN8iSY4UkARc
luMe6wZrC6Y/VjA+l7G5aW19aVcscAPqznHqd1Y+jdtyyrJdY+Uv6eiZTIrgCI8+2Yr6oMbr0i7W
HtLSq2mUSvf3J6+i/uJ8xwavW6TX4Kzj/348eYNRSeuRMcVFXsZi1SU2UqRujJdp2iWHJlX7pdl5
rp8HKQuG6VUpyvqyLGP5xoK9DIxvuGrJ3yMGdRnb5r08NIy2jG+YQHyYFZCH/Qj0BUIEN5+4pxNC
7nIP7V7P8GahlTC+TKvZdHn+tTKn1qG6vRNmwBxMIUBAkQnUSDIH/HE9bJUC3GDjZWslQiildedE
5Os6NV9w7VwT5bJrvZgQxGQHvvBgFvnBqoW9bvoxBzwcbsRAMmLdYbzyMM4FWrT2kfNgC6uvtLFV
nCIwdnJg873GrU6si0I5VQ23UdhpEKJRSogRX1A4ZfA7jNEhVe/YFdNFUEdb8HtrHSsZ6Xbl1psR
vi1ETZYcvgsMaqX7xSHx0w6riDiF2JMYsm94rpHuUuQTz7XazaPqFEfJFcD+mTfZJUuDGa+jFuxF
quqMY6AjfBZtTQVaQhtxnvlDSC6wuQ+xK6BGKBwLrQiAipe4lNeAE5mvKA9RiqZfNRxYRpuec0it
CQizzYNcyt3Ct6UXT2FKWwiaixaUWJykClr4+SxrDqFpfBEyE1aZUbCFymBMheJE9RhDevNP6qQr
aCNRxWtFZEEwjtq7XCXnDR9wdUxY+mx/f6t+1DHOyiq6afzYJnNQcjzmhvp9icD+vh8qVngXXhsu
1WhXif8bdPzX7KOPhm9+JeNblMsWzIg3GtMnXZ5qTJlu2b5/kRggRIxT2IabsLiqeuAjhHKGRuna
0er3r4pd7YcC6+erzq/7ndKrLeKm0MhGPspjdq0Lga6L/8JT8QuL0BEQEcS0xtLvDU/d4vaInW7A
dZTAR3ZkgXYwq6YvuWQeIJLKDuk5bmL3ylcrwMCYytGtYaX90o/HvZloD4YXDzslUQ1o6FOWr9rJ
zFZWIZVLBR+KY2bjuG0HU/2aZxHLBwa1OKXC54R7dVXKRrDkBB6XDKtlh+3zdathP+I8vEXkIbap
T0DU2Lygn9jwULqpq8o16r5eQP7ZqHIgrSKZCgV7SbYep1Z24Ogit+h1ZgDhcCWCbJmFIRxy1See
0SbNpe6+lXXPxLkIt5UmbVBQ3QxTdE/LttMb7K3VnBQfeioUuiakz2/1bTxFe0RUy2z0xFJNZGJj
vJhTVr7vZOy1YZQerWBYZ1W/6ryJO5iWrPFTOOHFMo9Si+FtZC2rxDtisoSIam6UHAea5Q/XcC8o
4Arppm1iJCRqIzsTLTkLFsDUbf5kzH5YOb0swXEAkWsWtbLDeSGxaca3hw5nWSjKbTYGG0Kjh2VX
tReAkbR5IrhlBfpqlXLLVJBsKV1b+4V2MLED/uF2+9M9Tkfx/m7rWb11EHikI5mpZ/9Ccst9edev
p62+MQ44+QLnWWAR2inH7LHf//7i6Bve9xJ/3eowC8A94EWwP6md4XFYGRGn0rFYMoE/CKdwsaIo
e+nedIF3354k53DfrSIUh0/8R3IxHuTFLnS9C8Ig0z/8NR8ffN//GFWmvLRUgzbq82xslHvkYEoU
XATyuVAJyZbvq+77lvi/nigfz6yfr4GU9P27zSitlYIgCXi4vvrVxh4vf/+O/vI14LIHhoHkBDXI
x9+fDsaEXq3k4S2dS5vvg07N+f2E+nf8O2tu/3v7fg2s/NCG9f+cvsLP+QXCdf7xv1v4GWQidDJV
hGx9h7H+1cILBaExzS0rSeip7Lx/tPAzbIif+buD5+75a+VNd2/P9HPUv3PYxz9TCn28C9ESz9wi
/oMkD1mhqv90F1ZkkNRgkHwSx+gSxD5EevLurflFA49x5fNX27YAxKq6QRVJBOLnQJlUyWW7SMbh
Av/zNgta2x2wn1WumQ7HQWWvhdQQJM9EWh845IJ5lMJD7Vo0IL2XFmSuo1mZdr3NAOAd20qywHG9
AX8MQ5KHlfYGApJpYKdVzRQtL3q52MRBmq7wT5ESPuODULYIdMckOSEWLlf1jBlSDUqorDPO0Ywf
omaXl+2MJAoln6EbWVKRtM7eqEU8R4NvadR0rvrdgWWxDF3Z351ZdsL/t1IKjb4yeLNvkSWBlaso
h/KyYftD1udEALWiL6Qh+KIWyj4YApLDE4yLMVZqtSvX2FcOfWsoC7ORLtqgu9Nj9aa06+sKX62f
dXcG2boEzKN1jEPtUBLdh2DngH95q/h+jN2dyscfjD1py2g4eVYhEl3LIV2PjF93ysddpcsPRRTh
7U5MsAh5eapCI9ow8Ty0g/w1MCgEgkI1HQ01N824wlKSPJXRhoiUU/U0NgteXyOUqxkGfY1OYtqX
Y7HviOwd0njTSKG/BkVZLRnMO/5UrMo+PKa9rq48da5Kg2I9TdXWq8KrQC+TdZSR7OFL8baacszu
tbLN6qFaVUF6nVfNPgBVuJBG2XgeOyKRx8on408Y7lBwqw5KCIYcAq5EbGDKkHcoyiPdNYC7CNxE
3DCbtyyirv1In3OkIV4OGsb3DPBb5tlIEjytcdgGHEujkxzfxmUfY1jOE/lVM9oXBc/yukqMdK/a
sN8WQayHl0VmwQMetJAJEkNv5P7Szo4jZV1b8nMsBdvJkC5o1G8BDK6TALYPiEBytCynVZXDlFqX
XZZRJyKNqLzV7AhMjT4mcEysrb4RS+brE8pYc1PL3b0yoXAtdH+JwPdxMrpjLuOCDqthpyfyeeKX
dkp2TC0kahoCuUJ6ErXyKknDNtemg+pJG9u8G7zH3Jp2LBEsV4/8VWXqt+WkYP8GdNjGi7axmr2G
F1IX49n3SMtkpMbuNLYfEl8gkjdsqjDlYGuZT8TzidDaMSUSLZhY1+rkqJiBdGMN9a0Wd0iEMefr
gX/WunmUHI7zxAwcRB5vGSImi6lT7gopuLGs9BZx4mLKetecOZfmsCttaTegD2eyYezKyF4n5J4t
GDAu1VwBMtZqzZXWRzte316P5Ee1ZasyqglT8BwghVALFgDaEG8GKRUP4JTNL7WVgzMcxtG7TRsv
vhpAQC+GIVEQcjC8gr4RLEtpttHPtoGggfHAwEtG2BYah66AUtxqE1uapOoYMLSFMX/DWKqzlbAb
0mFKz/o6wSOCu2ncSUyBVl1tXHhBQXRaUsCM1+yamxmRN5nzyR7+sO/4Qr9qZFIJ1JI61O8Ka0Gd
scdgfZ0WMfyEPocOWdS+G9vaF8OAqWEQqtqS+m7O0aEWRIejh95vNUz0doBZv2o+yk6jHAO+cjaf
kX4j+0XM+ziyixr9Q5Qq02KMvUtMrV/bwXYiVDtWRF8HevV63nOpavFYtzExltGmi5pvZtWfmLhG
rg/mdaH2yQM+DhfqwmM+SrSvtaB/JILV65nmNTUpSRGIg9rTCeELHdAJq6gUL0SWDesC/3GUdQ8d
+hZda0COhO0jMFW3qPiY4x6OlHmvZPWd3mb3upITcThE10MyHjK73zQlkkipj+79YNyGPV/RYTh2
XrpmQMSSJzGummY6EXnzQP9+kUeaY2ndfQ9uUukx8JrwgDqNpnmQ8R9q9ioz4kdQ0zXB78aajRsa
HhIn0auEW78eghV5QDgadONamfjU6oRli5+ZN2UX7hqVCGeY1g88CfalR9iUFGZnUBHNJo/8e30s
sY3I1UanLeK4QY4xAPXg1aeBeYAms6Ed2SmN/mAX3dKbcqeACsnIZQMvegHqi0wLQXYtmTJ6H25a
MCcwyL0nuYl3vNfLcMK0YAt7p7XjZU3arBNprPBkiWwA49EDq9KN2Jeb7tqjt6OinVxMFPB/w+As
a8M3Qpx0RkrZo6zNdoApPNp6si698ibNiJSIs3zT+cTvkJQzwypUtFsCwEj4aGCxkUn9hWmRN26W
ygq6dK0/y4ItowUpZhVb1RdSFBlnyNaJXCgCnrKy3NeKSfRRwHwRgdhzSCbBspR96UtfELIQkSiy
GpFCLFQtTF5goZlLoQIPXPbM3XsWpd9+X4T8VAzbM5FZGFQhCE5wYX0shpVYV9I086SLiK43vovt
r5q+/v9d4lOvPnIXG3HLJeQSCIZ5aosTQam/v8bHnT09w9vLYHtDbYjMWv30MoRox7S3Q/8ETY7D
8TQBGh5uJGn5+8v81AhyGfZKCNtxVGKj/jRO8fMIMlbc+acW6EtJY1tDt5DK21YjZAbQRg3gQ//u
dv23lVB+20ocn15eq6eflSTzT73rIOhFZ+spQtfZ+/djCYieligg1oAsf2bhKv/0Q0kCes1GJcfU
Clbh7Fr9q4NASTL7EBEMGCrctH/mR/xc3889BOEU8NBVwSROtuY/4n0nK8nKWIsG8LRnp2zGUsBY
9bzlHqsLtUnui1haFENjL6dw3Jmw+CmqfaaA7YaO5FWTOjJWbJ0hS49u0Uz2Q257i8mOyL0ml0SR
pMt59LNocogsVprcyTaiQJRb9orMsWelLZAgWO1F0/pURN2DkaTflChe6YJRWOgHj4ZNKCB7iDum
gvImYxDsp73nmJ7eLfmzc7dtaZJDYoV8RTy0BK8syxA/Qq1qqNwlQ3OHxvvW9fUrXFRjMeEiXFl5
VDgsbK7zOLgc/OwJYcqdNJaklRl+h/yS5VAs6TvdkPRlC64MjQF5ZbWZf7X06DkwK+QKsrGoel5i
C3Z9VRfKWUo4eBOUwMW0j/IQ8CE1O8s3gc4hOsuZOgBsShrYIM3gJAwq14ZGodHV/bNXR6RGKHNE
UYD0dQp0oI5ydNN14xmgI3FxclPykhLzQGr3dZ16TPGVyzrrKzdKADxL9rQPEnsXNMO+yAPZMTmG
5yfK1lcKyugcZxTFDkCxVpfgYNfW0g7k6baO82xj53pL4LMJv6Jo1B16o8i14+EFU8a487tAceQM
8UedRhYyOEsi9k49GKWyLTWrwCDleZejNAuKysZ2R5/BnJ2k9gJCmuFkbRZc5oa0zue859BkHl4+
8uyY1rWvzh6UYEaSmCErBc01QUNCpMULYmSe2/glIddmhvHcT58bjNwOolVMGNCsVknGnG1IvcfE
7LcG+r9jGBfjkl86Ig8N3SjMhqU8davQU5pVlxn1Tojyih1SsDRFNywJueSGbIGAyuDTNpUYU8dv
p+e2ktVFUbdM+iUARVGckanj5eYmjES3nEbriGrQXlqD8VoVHSQrW7nI+iZz1IZbmfXQQGEYJm7h
s+JWJOMaLfRjZ9JRhqxjFrVlJpumHmDY+f21NHr1FtL2s6kBbetTeg5cuzgZ247b2DbPnoyFtNQS
bSOlVB+R+MriZG1KQ7MSQ32UUmAMPi31Quuz5RSUX0cbj7vZm6WJtMg2LnGvNtqOikgBFMPNG66G
akwpC1+TMbgffL7zIrZy9rCtjO14cEe1Uc9mnz70WVEvPSvEyFM3FNf6eDewumPJgj1uCEkT6+2Y
sCVwY3Gcozpr+3WfQD4NkenQJVYLJfCNfVUi0S4tYN0g025oFU+VUdCyAnpo8+xb2JTXQg22mbD2
nSVfTuBVpilYC3ZwgRQc5QhHLeg+f4HeGidMpV3JOUW1wu914ZjvLZUFMnulLcHuYsUa/6G3/U3d
a3sEz9+MxnTreJyPJg3qfzrucml8EvO8uKSeW5RD05Py3hk7akHXGvzBa+HlNc195pdd7g5BoU1O
IBGzpPZtfcdWrGfJKSjRDbnuqo2KbufRj3N919R0tueESYy1bUpJe/R8Q3jHSMfUnQJXX7a2d6+w
5Fzpg+DW8BCkerMeTcvpvvpZo9Zz3630WbfGXfjQ0vFOMdYjFAebYNa4mbParSf/lLbJu7SmiXxI
tFSECM8gofScGD4T+1k3l5KHwAydQUiLqM6vzMsK9uJG6nV3ZCi2ScY4cUykeKyLWU12d+Ws0eNb
vLYQ7U12i6YcGZ+thfs2HnWnKOQnZeAcz7OepJ/0SmFS4TSNV2/KBMZX9iYQlIUzog5DdoR6MEPk
HW+znJ1TrWZPZt7hqRCwREwjPIRx9FVYPafB8HUArpYxigBoqK8B2fM9TJCpm1J8Iw+HDAkC4wkL
G3A2rVncrKXOOtHJhW43Rt9IpSNEuWE3p0LAS8IVKRfkjFnEtSRdiWM37a/TSQU753H6VWnqu5lK
3zaOhK5icQBjDep6BKiidrLipD1uI2GUV2Gk43mrzIOHbC2v5dBBpo9wBf9zGYgLLQDJqPuSq1dk
dtlmdkczd87T8kIyvAy2vXEfWd1z1BvBuh+SfU9Sx4L1zt4rpnu9tHBChadRz1MHwumu8EjzbKPC
DW15W9TWI8KgcK3KOa4TKSfYC19/poaqo7OwI0xvSR97bdoxfgKhvRrkX7j9xGGrMg6IUon9pMkY
IBsHtzKqndZYvtOGNINhZW5hvnI+45yPuwlVSHideOlT2ZpbgbMibsZDl0t3scpHLVtYytq84bjp
3FTxXyPb3uh9vs0l/tUrrG9ATl+KWtmnIvhejv9bT844iv8+mr4Ku1d4aS+vP5eU8w/+XVJq/5lZ
JqiQAVhD5/lRUc6KM3TBiINthGyALH5UlBqxN5CbLNj5dFNz2fh3Ran+R2NZAhD7O/6e+fc/kJXZ
H7s1ikjCqmf5GtAgOjbkbR8LykBkrMZaVRyrvCwL8yAl0oglHx9VzYwW+lt8sluhxpAgPQWIZd+S
TTOOisluGqWshYvj1OalxPOQcFtdz9RjG0uQr0Wd7cnnS69HlVOoHbTikIVN/tz4Tb8TaR9fa0pf
7bU8AkTbDOarJ0Jtk2uW5yIsmJeRZZM/BjOVA58nD6+qLxaanaxjofTLKckwjXYGGAU1nK5EbYSt
YyPS5YvEVJbtALpgo1wOIhILDEGAYQM0rGnaejcCF9QVQ7wkuJYjPfbrdWIq5bSdigD0RqVaFicQ
MWi+4IKtDLpx0REhjkQH60M+PjFg6y6rSrF6GVaM0JgxGJ18YRgA71M9LKNbKZp02IldbJpoWo2y
AnOn8iDXu7F8jNtW3WodZtmJNmOJ7mVRFePOagrWv5keLOWusvU92SjVE/oXA5E0bLoFe4167gwJ
uoFvm6nqelTQPIzMiuxlPmlXk1J35kYQtbvMzei5iRKMKWyrp6MOK3hrlVbYXbFUVdyx0rNJdQJu
zP6YMlrPpH9PhO+B8/PS5r+fCMfX7CV/DrNfrKnmH/zrRBAC0Sjh8JbQ+PK9tYt/r6n44gsUpgwd
0A+jG/37SMCZKcuCcQTcOPo/bd57/dVkEk84A8xkNj7iH7ky2RN9XCDpiExVwcoLrD8NsD1Hebxv
ME3msxa+cOmkIGZum5B2QpteoWL6i1hPMDeqMkDuyK1GP01YehTVlV2l0qUwOzLGgbhk5pVPoWqB
YRnVZVsr1T11qTk+65LVYKdh/CZmggT3JFQJYU1rv2aQVWu2tjYtxrXDTJ9gTIXTq5BstwJNwY5H
fvZLaBWlGAo3nwkWfQtLg0Ea3oOc/606ky7aWFSPxRv9YuZgTEGn7/rM3EVRBWcUF7seUKHV4DNa
0X5NByEvupmskcyMjQTYhgV0Y5zpG6mprwJb6y6smcyRVszz7dlWV40jnP+Z4FHFKAty9H7qaMcr
uMTTQszEjwmplmiG+hzVGSk6Y5M8dBaEEEW5D/EiAdIgwRVS8tIAJhKBbV7AGDqOcpRTo4cn0m6e
67CHKE7VqzUksFozncScOSWN2Ye77I1dMlNMqJTlVf2GNmHI3i+smXfCmHveB8BA0WYaiu7bCGVz
1WkAcpcaxJS4y4fLaaaokCAVXw6AVfKZsGLPrBXG1PxQPE2hy6QL5o+jZgnkohnQUs2olumN2jIM
mrWkOYLlEgUEF4CFLLxrdPzFuouiQl5xY2fbrOq6dVpDWfEMyTqGWo+2qbG9Y2zww9lRYep6qbTB
QxIwHg4y48mv0Ev1NYWwotkPsdL4K68pvsl2mjoEzh8SDwa2FYFxpbGC1pV+CyadVY7fnFiVjE5q
krWkVVZMqFTMYdkZ26orzZ3QC8XBa3cdRIBJSHlfa6ws13ZFZT/oLW7BcY5mCdui5w9oRMsar+p6
oR076OE7JnSwdbD/n3W9pmKu6EgIgh101RE1MYsFW41DVdqMF7jRTnjgDbcq9XJvaJhGpDynn0Y+
g9SuXRPj+Zh0SJHlQcFBN9S7fkjVRdL5iqtjOr6AGuVKqf0ipPpgROll3ra35CMf68JEaSWk4mKU
wnErDHa3GAY2ks58MsW7cCNHnreyrNeGvU2YIEnTzMMY5LghomBdDuPKoGvgNRMhlh30NH2cOmmv
K+EhxRcNPED3jplFG5kaheq2gX+N18jflgGRtlG3iUs+JPLTdkVP5rMUmRizY+vJb3u+gUZ4Grp8
tiqjfpCaLnUw0TqKkWztRl/hf3xKK7gD6DVBunwzzJCjJXUrknCKuHTkrs4RpcpQ5/tlUERbk2hR
ux8cXFMorxqKAcryW2qNk9DaWx62FjepnRtMwciS8qzpW1EqV/rUbue0NJVtNAsRlRBPFlhS7IDd
eAoMdW1U3ar2kblGunWu4+zKysWLHfMdThOY9fZ4pUlQ5tOyOI6skaWYNDU+YyR1gJrQIaIdxHUN
35wq/BnywU0/349KHG2rNjhDpD+lFq0QWHFvyDdmCpyflauT6PJlmg0XYzk6ApVp5sGHtSrS/aT1
1MYbANlOWkQbox5cSZ/VmURIG1brJCTWSbCT4sBcjUUOBV22Vpmcr0l1RQvX+mfRgPLp/M0gW8s0
lw6MoFxiumkRQNrFA4zY9BujZ8ersD7asuM1yWuVvOZeezUgXY8secPSl6ou+6IzhKgnwhg0rtFU
bKbFibHXdY3JU+t0+qfhShvsmySaxNJOQPnkvbxOtcqxPZCyqSdBnZBdthrfRpQwnHAuMzqnDkAi
W0Cm/DrYqgrgkKn6IivNbtKta0qmL1ZQX/kQstv0JRuL11KW0ZljXzXV0A2Nwq29cRkT8B7Io+Or
waVaBce8U6+Ex+yRZAdRsXbvTVzP8kayu41VS64cJNcR6Q+NrtxW/KWmRxKtAQLZk0gplVuXr+JF
bVuuotY7GARcsFyxyRucIauXecnGS9PEc9/mX/hVDCUJqRhrrXD4JpWQrnuHPN2nOqudzJL2SZNv
J8nEJICHuwNcGFBCL9hNllSkI4tfw1yLprtP2+yxAYA2FuaWeTIoEUBkeVNtMkvfykPKlla3UdV2
X/pKvs+r6CqXFHrswQ29lvfOXvlZszEbnbvTJDamuyQlal+ghO2k9joJzY01eCcKvm2mQaT2lGOQ
o2LL2tBNk/FceHO72i+K3rqMKvugKsNDYSA6qJC7CZushsq4rKv6lNX6FTgveWEp9XWr68uuYEhU
Te0ccn1IdB9wdynD7faP1XxQTfmXMW72otLXBbartumdSO2dup+LnowmOrudC1w4BXtJaMFJ8mTv
K2ic5LoGFeJMotnBkV1Mfe904O4kKXphFnUbNSl9LnLehW02DxpmAUF8CNT7VRwqL0YqLbKm/BJX
wZYF2YnzFiRLFa+Vvt7r0ywFTMzYmWTlIdDrwrXV+CatGtjHQ7yOVeUcxWQfxjYY3rxXXSw3Gy82
nF5IAPXZGXY4XUCK+44yCrDOqIeD7MxIjbyMYTdk40sh4Ywgw6LBoT3H+/ANqJlAduaqbX120VLm
MPijSW/JDOUhMdjZppOsl64jbT2U135nuiGSmiwvOH9qZjD+MLkD5u+x8fdVo98w2eZZ0xROVkPd
DmNSBHtplwmNe52pAvqFSsm3idQcJ6l/qKviGbkzQu8ap1rC8lZjfJPKPP7elbS/EBl97BgR6FEh
qoowmHLO2sHPgr2mryoEMJl0gn4dRvEij68kxhW/v8i89vphRPrrIsaMZNUobd8cte/UuGwIZIMl
jXQarK8Vo8r2YciBeSE/+ZNm6lcFL0LIv680/yXvrpR7JNpMHlcS1kWgjYvCVFbTtM2Nu6h9DHPD
+f0L++W7x7dpHggoCtP5j5cTTF4tL8n9cyc9Nu2+9J+z5Pn3l/jVK6JapljmMrT3ny5BcMAg2xgg
z50Gy3DdjuMqAQuR+uuQ4GnRXPz+cr94RYBaaVrQrmnip33vPK0Xo9yEZ4LIYOqDDJoFXn94TR+1
c2/3w4eLfNr41p7U6IbHRQB1L5rqMINM/n8vY36Z7+6DrpmargI9eGY7QTCoE+c3HpuO31/k07Z3
/u58eBmfPpoiHuOiS+vwPEjqAh+EHZ6JDeSAe9AxRNQnAaXk91f81afDlgyaog7MAQnjx5cVh1Ya
ZpESns3yElGAUyRb8x9u/N9eFaQ1QzPY+ws0jh+v4emqZFhdFZ2zOsDKjsQwd/rk9vcv5FdvHdlX
mL7JoDLF2yDr3eeT94FphiFr/qp4yIgQolOMOAxs7zpq9xpri967/P0V53vq0xnEEffjip8+LBT/
OISUkW3ggHa8vmeC94fDYCbfvruELuMpVUwNLSj2UiSbn80Uda6BQRuU9Bwdqm2z5eF5BDe60i+D
K93JVqFrOZL7+1f18ZLfv0nvX9Wn8449bzpA9orOnYElANuxAHkk8s3vr/Lr9w4diMyTUzf0T7eE
McFiaPA9nL2S3FgWP1bzh/dufvc/fzps6bnbUGoQfPbpxi7I/GMXjtEaCdVitATV5mMIOgeJ1h9e
y6/esfdXUj/e3nTEeaWYRnRW9NfAutS963L6w/H260vohphx/QZwwo+XCJWYvIzJj89ZdoJiQl6u
WIjW+MND9VdfIW62v6/y6aOPqw7lHQrWcxg/JxLWJ2k1JzfFrRM3ZyleJ/ofPqOfXhZERBPmzZt8
Gjb5J+6FsD2zSM08OTfduqwee4NQ76t/eKN9ugRjtvfHdtb5vKFBmZz7KVsoEimlkf6Ht+2ne/nt
ErOyA/MT+upPryIaBlSpdFrnOnmWpi3pUn+4wE+3MhcgiUDne8LgjeH+x9fA0Wn2CsFSZ+q8tEWe
EW3JMFlk9uvbe/XvnkbhTv/NVPapCn+FGOWH3k1k4eTh/mcRMhcx/NPfE1kw5AJNPePQGawv809/
yX6s/2AkAE7OZsemt52XPn9NZM3/WIyoaKmR4muazj/9gyUNs2HugB+HHbIfxrGMMqgZ57+CX/jp
DgEvMAvwpxPCvbtSRZeS4E4jHQW+ljKlrlUaND75Vh8J6xvsOwhcAIta8oRS27iJLO2o5s02jaJV
2VlevTTNFPhyiKH2NsltZZUL+dKXMp5BLKztZQbn7auAeAvxUyH2ZW96RN6ByCKTy0jMaFM3aBPS
NmovZWahcO2M6z6e7VndeELtCCoqU5dFMMW0W/nNOEp3uZ7dqkhXFrJgdy5X6ECk8RSE1g5EC8AU
WHYTMucYaIYfMQmKxJn17Z3o6owMHjagXjMbPasYfUf2bayoZAOhuEgw/aWoZiWoGE5NpTyVCaIO
vVPb5ZgHL2WfTszaEBXbRNj4Mr0pihvFjU3DhKolaeO2H3LJgfu8V1rzpBLH1CrBfoLZQTC0Cbc6
wBYtun3VFfeBbD9ImsmkNlEv47xeNXp6F4cTnVg03TZkIXWtUpCuBtGnyL8JWcFdFl7ZkO/ABKSH
wk+3SjrexXW7l/Lum1whHSKR0HRYzbUIdoEaS1LcLNQk3pS1VDhqYDjSCODPE3TpOs6tk4Ck6kwA
CeiWGf0Fee80dhXhmsNnn4J2W1lxPDnZwMyTR81zMPq7jMnLupkzmmrGjpkl2Cyrm7atSEuvUMPw
jDsGZVVy6BhGm64ZJ9J76km6VRkF1bV+BGSDECWHiwMS0NXo4GOUquQdSezIEOhkwxMZPAw7aDpz
5unLHEdBHzCeD1TpSa78yKk6RPVKjJ8Y2DyAIuvIOoOZu1y3rmgD45D06qaIsuoaUap2IRpSEBXh
AxQw7Wg5kaWHlH5yaiPRkAsgvUVVtcae27jMI4yLFvaEKWlbqazvYHJs5Fbc9R1Z8H5Qy8umFgr2
NREdCjpuTLeEXQc6wB+vi5gkDAiaVU3yWKop8kUxqOIyFLOOKO5gShZYHv1dGgOjHErxRCdE1FM2
hifKkt6hZHVHK3XbhvElVNnE0fvs68hMU3Thl9yXFqHdxCs/4POMkjE5UQvCPkvX7w618/fT4D29
46eHLc9ZlWcIatVZjDhzl98/CQt16OJEspVTkt7G2gtzmz96f39xCWotwqBZTSkso8THS4yFP9Rs
JLVTXH9t4/NY3GT/l5rz7zNKUFb85hmV/3JpyM/89YhCLMAchOpAFzxWWAD+eEQByDZ0YEvMwAxD
fgNU/3hEmdgRZfTFVBY8qSj5fjyiWD5iR0OYahOd9s/wNGRyfH5EYW2jh0HDwtFJuzn/+7v+rJ44
Q1q9NS5INCWeEKpawYgY8qW2lAa/44ycvBZ5kUT4e4LVzDNztl4pGqo2jN6m/HJytNpQJkMS8hQ+
OWfmVGrMbFsoVytCcAW7sqnXE0hhDdPv+75FUbecZF9DUBoDfCm2tVYpxQIOpTFctpGJyogMJt81
9YqUziG75xTFzo+EsMlMCzNA17Cml7sFCriUwYVUu14r30QZeogMgCah2ktvlK/4rqOQw460yL0C
zWa6z0rvoPTD3YgpGtgMpqqiSNdtsf1f9s6kN24s7dJ/pVF7Ji5nEujqBRmjQqHQbEkbQrYkzsPl
TP76fiiXM22VndkJfIteZAEFlMuOCEUoyPsO5zwny0NGvCGuHBxfsZ/aGKeykYC52OGW2gUzYIFx
/pTb7qWKtgC5pO4pXZOi22WISItYcd06ZzUjRm2hX8Vd/9CyavJA+x/ymGRBDvfLpiymzWCRmWZ1
Lm7lXrak7M3jKoX7ucLCPq8nk8mkI7Q1UJFpBRoD7a/TvyjGeEAExjHH0tDPA/VlHKvSJwh9A25n
F+MW83M1O08crfKJcbiHvJP7iRzO8a10fh+DtAIve4PdbyPtTtsEaUBOIUrkoA6qPQ0tJhCjvEi0
8hoItk8LcIgpDaIRAlyP+FG15RqTzmdjqkhmiPpVq7OGzVKC0Q2qlyo8MwKMfBUo1iWhy2OZmnh1
VqYbZ7KRw+rtMVdmjvCsBngBAAZT3qeuwJ6fli5CrImwKMUKL0cb9oPhtr4q27O+w58mRf0pLNkA
zql5QMNy04bj2hpB4iWjukuL5Br333ls6qvUjjvPsuYY0R9mj4qTAVdJEPlidC/BjtlYkvTXMlOb
nVoR5G4W5YWpFu02wrJX6OkdPfF9DqizrORJiSo2B26KlSdzCWXNEmTA+f1gO6sFbdQJ/VGQc72y
4dL1Q3Yzpib+y8XZsKyXIoc50dQkyFmFFh2qilWO7s5Q1ofhU2Fri3+k/TQGw71qNLdGwzEN1X1b
RO4paUxfSdhumi26PZYaSJAHv7NTAlxTVCIOsji97W5IimSMm6hEHk4h9hwj3MlWXnfW/Mhy7Ema
BJWMMbk1bhJLokYIojREd9fHrI5UkLur0opwi5VnaJqei5nVlgil5mulesNIiqxf47ZqxFbRy8uB
NEu6W/1mSZRbOZGgqBiVizAyjrFdKb6expsxzliV28T3qdNzHs7jjiSWXdfXBr54x/ULJS1Y8mXl
pm2Lx6SQPZ8P1KRsnJ2DKybU0irzdTHX57GVbnLiEDeBRtGAAxh6qEI2bzOdVNVgFUbcTFnLi8q2
71j7RGdUktnaUsfXNHavyRa3PUvHOqNmAJ6beXob+hxifQ8TJgg1w2f44ZBd0QK9sQFBBFl3A9uB
rw4cL/JGFCTcVTyxhitN3yijXRqOz1bUFuvWKor1aLnHzpRHoLyvKQtLaibQofWigDWRwuIpf6uR
xoZlvJvm8rF418winrUXFW2FnFYsulpnVBDXdxbbOc3YhyDyvXnR4apacsQ6eTYh0IWSeoArxt4n
OORZso9aeRNE8q1dlL3o0s8npL74gW+rRfurT2AOsRlZoKO479WLRhge8tpeVMMJ8uFi0RHbi6I4
oyQyF43xsKiN4364dxf9cVcqXNOLJplUl8dxUSmPyJWRPomFOV9SjWtIyRE1a8PrsGicSUSK18Vk
HCIrfxwnPlHVZamFVRNkUXn/ngYCkfeeDuk1ChEDTynSSAL89qIpv7ia8TTX4q1X+TJUhXVbkYjr
QVnQV2bWNtwiCrmRuX3Z41YgE0RF9Too0MP6CxbE17xV9CTRaSZ9hS38ApzoFc2bUfDbKPdWkSP2
XZmytQ6ccW8MGKar4CGyodTUWfyaD6zVAmOAocAUYtek/R3utpmA2HFmc133bB/fi4N/qiSdqvXX
VdICA9jUz8WXuPnyE43V8uBv5RIaK2RU8BjonS3cwT929CpSqf9Ehrx75L+VS/ZvGPtsAy3d74/6
o1wiBwz/DXSmv18u/ThSeu/nbap8Bj7Lk0IP/7FYwlUsnCSoZ1xln6QTeB0iwO8+mJ90A8sz/DEx
WMa8Bs/BJBERmcZLLD/Bd+XYXAVWNVa6emro0Go0W9h3G5Pt418MR398J//9Oh8mE2yoK1nHJhT/
qvfV+nywX/78jSBg+/N38mFqGUJhpzvknWgjsD3jzgbCTQykqyBM7dcUv37TP1bdrosvW8owNX5N
IiJ/L7Xyqi1uQlSjLUocM1w7nIChQVl4M+QR+9j/ZFH8kjKiLu3Pn33mH+Z4eqwEbEeXzwIb/owA
tPrUAboiceU0oCgKgNXG05vNnUXyPx0r/otx63sa3ccfgKWiaQl+/UsezY+/dNA2atsLezqBd0C5
p7p1dp7iPITVXRmy8t1EFN0+cSgvx8Yzu+FazZDvDAXa9V4os09QFhj6CtErhh5xNrgtUPksf9By
/WwIREM1piTq3ajnIB1Sl9oiQNRXMFdCu76vOtD+vdyg2ln17bSN5lNvMScKKZtRCFNPbGvqp1y7
JFmXQvuhCTJ0IbdN6Bxxr3HyWase4KTGJItO17dn0NtJBevuljpKriwEhjNi2nhSGdJ03Jvz9UBv
Lh+aJPcmVmpyKA5qa1zBzE1osHtiPe9ykwJOn3Xyp25bw1phRmZzNIaeGYcGgawSB48DW7xMs8cW
h06ez+AWTaZkyE7+IhP2fVb8x2/ovy78j4O8IXabBHHgfBJbfRfs5/P2k7519vWp8dTzdif9ek35
4k8b3T+rzyDlrsZHZU821lZsrSNOqeOfX13LxfPHz/Pfl++Hrs2An2nny1cWcADTm2JY1Y3HUSn+
4na0fPX/7HU+3PCcOJ+zKOJ1FMyKt+OLXARnPnEVVvAXF4G6fMk/vtT3F8GHjYDLP651+BmnSPeT
SzAJ3ehDdx6aNRF54QnR9p9/hD+7A9Jj4wp1XBbuHxeTuZWPtg2a6zTASirmz71y+ecv8LMb4Pcv
8OGzE0Vss+bQtBPwuSWaZFD8ZvwrwcVfvciHu6w7uhZ2OV7E7Q+zPGutW816+vP38bMj6fv38eH2
OHFW1wg8tRMzDn/MiA+xrgHautH49TfyP10dHeMvddmUb+3/Xp75S1lNNR7V9v/8+Mfm65/D13L1
3D7/8Ad0cHGLMu21nq5fmy7joV8Pi+Vf/r/+5f96fX+WW7Rt//7X8wvb+FXctHX8peV4+fp3+5d/
/+s/8nM+01+XRxfP1fPPH/NdVYRtZDGcs0E3WNb/MUSiYGKBr8GMozj6ugL5VhU5v4H8Ywdis85d
pos86ltV5PymmiSewRJb+PtUVX9nz0Gs6w/X7nJ7XDa5BqYXl7kU40z+/ruqpZZNbpiA0U5V1aDg
0lraIRfgdmVOd2oit8GCJh+ANARV91l0wVNscSMXo3FozCCjq1Xu3F6uhDkdzRldlYnKVAsQUYsw
PlkYPafAuRRZqPqx2mlAc8Q2Hd3joJvnZV5undDddYl24pgkh4NUNm4cS9SHNdxYZtlt2EO8KlZB
0JiLQKQ3wqNtgaBTiPDyHGmuJ21xKSrIIvV4L8zB9ivNuSeB9LLRspMJ99/r6qJHe9dneNCmbTBi
C5tM9ypLQkqV1C/gg64mEzF4mJUC9LnxOpRhcpznrnouWl5nMvvtrNShr2PCBh2/y5VUbIhzq1dB
NkRr0EGiRXhanXWCTBqtGgqv0/CIpJH048zcuDL7HMJXadGieFXfbDsKuNQvIXGOM02aLYDxgsqp
lw41bF1fNtGqNjJ1D2L4oIssPlOxWwfF5AK7FJUfpBidU7Cs7mDdSDW2mIbXra9gBmTOXhuYhKx9
MdD6lbMLUrAxsz3V+YXFKkAvClgfbfBEDXCbKAghY0XfGVPwSn1bkBQ6oiS28lVjJlj9Svy1ioFL
KAo4pYBI3U4OvZU9mvu8wEJshNU1YP8d8nTbj0zUxuHcSJ+0p4C1bS88SKaJVyXuJi4YPM5RPJFA
Ss9thumXWi1QUkoVELwya9euVB0EmSlbAux9GO+jlULKwaYfhJtiuCfWN8U9uLeWqN/QEYM/KE66
r8gBHpdA4B7QuGdpdrJtSzOTu7oJy+DGwZF9plrRS6iUpIMC/znDdhT75KPtaxneNsJietJqO0Op
Wp+4bZJwOnPdQ15y+qI8FE59bJr8rRyL2jPmgQSI/qFqJuYUc3zfaRIfPrNbvw+qhx5U0pp42/Ou
GM/zXBhEyiR4dh1M8wRotYN5ZFjDJaHct4MqfAMAdKJhbbBC42QTUNDhFTJjxnYYBUqPiIItE9Xz
zMK4Idz2iR7j1Iv0zh2hQOVmsA81yQQLr6afqDJe10nZbOKogI+aHqNQ4Z4fRmsyy45F5u5a8tD9
wVZeiL+5o6CXfqiE5Kho4kWPq/s+dVawwSavxkrz3NfmWlGVRwJU0YK3lIsjjb46WemVlRpP6FkW
CMqLPTeHyawuZpWpSTxDeynN01iW2rGoc2KQZbaubOugj7UPwFUwi46u+1B0cL4mslJvU2VtTM6h
igmg7TnNgwiqUQFpMu5tWNVpdoWTRWGwVT9WSnudQOZmGjVfRiZOCYsQLX3A6x8na0WxdvNia2Hn
hr69RpLJWMfLIvcIYgp9e3qKiQDqDH7rGoLV3iY+N83nJ9fq202b177l7CRhSvjnE9guvTzvhnnv
VvFnvAzAaFWV9dfgkgSS3LSZ+dmtESZ3I4lQhbTvSecpfDUPuIhLTlc9agnO4F5IKnI2bpsC+/xX
EeD/9JG7fS0vnvPX5scj9v/nE9ek3Pv1iXvPAd39jCmyPOzboUt6ALo7DawtkA3wudQ938QFbG7M
BT6IP9Rd7KHfiQuM3zhsuS8byAg4lr9niui/kcCHAJeFjq2+/9W3wuPyayFMzfLLrvXHwo8jd8n0
A0foQAI1l8yKH4/cUShhX9dFdzFPqS/rjoaMYCQn/1qT/fJlKCI+nu0u3BLHYOaGGhHFy4ezXc34
FluJUV2IznTvOI2I18ptOPQ7zK4Q6PV3Gj18pvkm0VgioNk18GXb4WNVJnSsISh71c45s77y7SHd
6+/Me+udf9+/s/D7ceHiD4EkwzlRS2jyBolXVqpklOdZo67jqiq1dTlkXU98ORg2At6C4iFOJ3dt
OswQV03xxcyM4cI2Kla1nagyH+R1RnB2gKckY2WjZDANgeUOpX4SvWqm532WnOoWqFheFaMfuZe6
Kl6Rnb8UMtwEjbi1AT4Vg741FavcaoJ3Aa527RokLucgBvJ9wMx1paeEszQM+LNJvjH4v54r40LV
qrdO728ylezTwaiTRxvpwcoN0+6o2FV9IRvTOsti91i5ZOXMs0Yboij6m4EDbWcEkbhAKF+tIfdJ
DziUudaGpd92LzAw4KTV4NBzs9S2rMTuJlV5yDTuJWUSmSht25As9U4nMSEEnLXWHBGvHWN5ilbb
qKlV39VGi13WcoroumFquu5stV67oxgfjCye+BSBWXlN2tUrQ6nZQ5nztbRaB16Eqv6FEnlZqX7X
+r1/l5FRCSYgFLggcj60fnLiCA1Hp75o1vnzwMbuZr6xPcWTPsE8O6a+UPbX+dZeExkNXNfY6Gtt
F/h/2Ut96HYXgjUoWAQ75jKHA5j94zVFHsXQ4XcpLwItPGPHM/ppiPGjGgzNc2zi12Uf6JsaDxdT
IUccQ7sOzlR+R1Yqc3+ypws3EJPnaPNTC6Jn02B2YdlRbbA6PdlmwAAjICQ3mMdPMqtg69dYi+wm
0VfjAM5fjRiHmMToTLq7RVkGhm72wb+A+jHdHXQRb9K0LSoj1ZNtzZfCJU0yL3bJaKxK3ai9kpik
YQjPtYDaOy1iZCxsOfM8aVZcxBfDSN69DNH+N3p4F+INVPX82I0OJ6pTbQUBCUg2pLHpRHLz3e31
P3ev70UOP95EFioXY1ummtwvLczqH5ttd9YGt8qD+kKwiNlyIyB6qRZYLQhaNsuYkEMZ0iP9fkf/
yUtqywzku4HCf73mh9+mMvZ23WMTx9OkP5osTccuLFdzY++MHL2uDIQXWnXl2VL6Zta0ZBkVE5EO
YDkchcYidh5EjLSvb5Q3Eio3jLKOWgntJZi/mKF8yodYriQZCF/Jyv+cyRrfit9/g0uv/Z8+eSkt
/v2vi9f++eVnfTCP+nYkL9m46PU4hYB9cTh/dyQDCuYuRjY49TkG+MU98a0P5rAG++WAbEBRsTz8
jz7Y5flgCC8QMNYOf8+Eres/fsvf22D2n4yS+K7zgotq4/s2GLJ+pZukQp7gHuqTTTsXTKxNW/du
5ALwxARR0tWKc2fOrp3J+DxVmeLbLMVRXJFbCjRGALd1z5rUPTG3Kkmmsj67UXrMOvd+nuWdPhRv
2JQ2nMGE6GI/yCqOJKexNJ8V1lZo+TmuKPxYQe9iB9YvBiGx5UFJ9yRMP4sQt41eWrTomNw0Omyv
1MyHNKP0nObPRH8XdIXubpDdXRq3l2SlXsQO8Yk4Vm5yMnvLcgwvgr49K4e+YnLbHFQn6XDfwS4Z
S97zTBgu41yn23dOtAGNGmDaLDZFpHzqCBHFVeohqr/IiHaYDSJkCtsGBVpwwM9Dt2JNvZEODnC9
ZSdnqC8IA05Nqlqkg8vpZgaQGHMH5lxv/FmO9KSJHtNMGwjDCiUhz8V8zGdyOKwhsMEniezMLmN3
JQe1Qc0SLJnjgD2HfkVgMEEiE9OCwZ09XWX/i1NzPdfmPbtZNHoh2+8b1+7CFkYVd6jUG62mme/U
YSDwE2e4JGdFtoKc+KTt64txChNawCjM4EqUyxKhj88dq1+nzbQV2bibh95ad9hYvSQMt6Mweubk
3HADvI6GzRIGE/RrlZjHTDSuh63laTa4i2PSGYh37e5askBjXKCBiR88K7lZNfup60hfAilmJcUO
LaiyjtLKRKnRH10B9iad9APZeZ8mwzrLqyr1c3N6lqop74wc92Zu0HX33lAN+04btySUBuhIAnQt
cbDDE0Jgi9QPU0eGi6tgfpyUafRA9N4rPa5gSyqbwdVgCfQoctjjO8Gwn10GnaKsLJLuipXbEzfa
y2obQ/HwhE1koRZs9A4nnYJSvq67+znLPmWm9lbqfGY0XQ/CKYklSu8wZT4SZns5Ruxvx9ZB5zE/
NHWR8/TRLhgT24fJti7G9izvSGXSkvmB5QXCV/ncEuVLUXtA97BS4+rRIvZ5FUBpJVuukNBqs1ta
uLuoAddVdUbDj5Ye4AKsqxkVUms/SldC9+isY13Z13NkbIUOVgrb95bAZMja3ZPphNcobTe2Wpyw
wp3GCt6JtGYNAQ6lprSK8zntL8id3qTFS4q6o+vJMmmGYFvGzLLdzEDJQdBzjCbREZxFLpk/vHbz
MJMl4gOdfc4DKEemSIEwN+DFshCgST/dWgv1eCwzaKq1fVsU4QFb5+PsRMfMHa90TdkyLoFeJd2X
IBe73IV/bJGh2xNB1jXB4gQe10GivZpU9VxQ6i1f4we7JWZHDcqLNsZO6uov7gyYOVGGyzIg3jBv
VMNHO0E0UwAfOrMi13PQ7SL9HbPLKXWv05T7CsQTIlx6UiHySR02heV+HoP2Oc3kZQB/G1WRGawg
kCM9mqTLqME8VE5jXM66s0UvGxG32MvkpirUL8Gkw9JO57u5LM/1OfysFupZl3XTDjyNsm5T7SIi
zNJrqqjBPO1AjU7b17ICcd7ZEdyZtFoM9pJmG6ydZ7k2iTRmVvuBUZ/Pqn1oNfUs7tR9FLXXdYiE
Vwz63pqNi7FTDmXOu4xTuaraSIBxVgwihcJVEuWd79jG6v2k++fI1ynKfn3kL7oAj0Ct9meiAB75
3bHPkYonkuk35//SU3/rxDn2EeqjW7QZQL0nvv5+7Fu/Lac6ales7xjC6Fu/Tb+t31SOHv4vC58q
Csy/lfBHj/BDobm0L7QssEJReFJc0Jj/eOzD1jdN5l4KCZU5wXrlvo+DwSsyC6W/2paI1qedAv/Q
59tzJShGUONRdw5k0w1TW644QYiNRdRVkY3uU1mUnjZMwUpKZ2Dp0HyG0XQPxO2pEvI4QSGabcs5
r/KsXhs0tEGl3zGv3eYqqsewJSJUY3gFX+SLpcZ+b1sNKYDiykWw7g0OTUid1CRN2W+jYY2bZKhu
ci25s1XY/HM64wNVuIRyVz4YHUlksVqBhkN8lYQV+rNSASOHUkpV6u1Ae+4ZgQ57rgMkOIM5WTFR
Y9k7mISnBaPxVGW9Ml0lQ+/0G+gAQ6575RKR2clEVJzxS5ami+ayXNI1qyVns18SN5F72qiv9HW/
pHGmSyznks/pFmgcl8ROGpSXlghPQteJDYxJZ9Pbi6y/0xoSy6i5gHy7cD65o9zYSx6oSjAoYwTF
G12Sb4kX7P2m7A9W0DRnUhSfpRYlNfaJqBRr8G8gta3c0K5kGrJbjWwk2ROcPJDiqc2unC2eWHGC
PxRGeZ/Hdnmq5rE8Z+E3+YoNQ9umfAurfZGVF43abHPo65lrn41m8ABSjCMm1SecysmmKwyxVztO
h4j3vabsgflglYCwMkBP/DyfnLCNz/rYDtcIx2DFqIHiB4Oen+g/bzMno/CqbKz2ln0w8rjlBBlk
jFFB0bJ1nVmWtVaZGszadCUa1ILCaiT81NJBqCluQvgNgawLbwZ/IkN3o4wa/gXrykzsfbCEE/WI
98XcIAsIb1snP41uv9VGDYyH6H2DTK4GnUaUmODn8+QT4PdbuwTGNzj3aD1Dz62bHV3XbYW0uB7i
GwJdHuJW3ak0+x6gq8q3mJZioCAdrwebSDiGthkhpVtFKQ78yhOMCckrDa7X1/xsyhSaa10fSNvR
0PTPpL3P5hM+EmpIPC5tlx3nMLjOTVntJ8JZz3XFuIm74XOhMFpobutOVX0OxqswSlYVUeZFNZ/V
lgowNxlgFCTbJq53SCZBBOn6kXy6p7wLWSPYJKa3TOt1WUE6CRn8K2hj5TQ8u4FargUhUbM1U273
p0g4nzRtOJSNsirVcaU55me9EtaKSOibOYxOA/MxWQ/nrNXvMynUtdCmjSTyzY9T5SIQ7jbJC2wR
rbOkV33uA8ocBtTnbkgzwQbqkGX8M9U9DG3XekOd752wO+8XZIMBjHocdZ2y14Rh4BCbsFHZhfrW
rBT5dYQIXSOaK3xMiAQuzKQj8ka8zUqzS+P+kQxFKrp+zXJmm+jOUwvsJ+8Q95YTI3K1A0Wp7+qw
ephsiBlajldpMIg90rprR5WgDUYqrLrWH+Ku3g+AGDKlD9CSG1c6bBUmP1casfb+NPdHsx8ifzSL
bVDUzh6/7i5K7W3spJ+YIZ5D6bmzoaZ4GZaiNlpSLLNjRFp8KrpP0OBv6pjfRV71X4x86ZTqI+rm
05jl3T6c1M4jdG6XaUQzudo1X5Kzssu4wur21AQsgmzEox3q7FyToKaMbNM3gnnDcMCEcSBClPjN
QdmTErcT2CwZtOzzedgNsFTcOT0f3XbbZvNV2+P3sXN51PX6MFZ8ZZ2cdUqT3YGTfUpBQhnS3Lfk
UjVGdRaVFrGj0X3fxDem09yahpZ5OOM3vRmxVnA+p/Dp1ZzIyDkv94GGsrMtzooZ4X2jDgBB0gPR
eU9jpt+4i/KcTYCnllL4iSW2jEo3RVWdTIw3se28/VObUESYYpke/Lo2OaFXDF9/spbnUd/qErwd
jMU1ng3BovoeUv+tLmF5QINqakweHNP8YUOgE0rMJAzGg+N8RYv/Xpjov4GOtPgvT7sYGrW/s5ZX
F2/JdxMw1vo6/8F5KARCWjDmH+eqFq6mwRYBKeIqXNg5S11fhZB7UEYpDoXdQIBVxNQ9GUl0FgfT
I0K02a+gEOo9OEJlYBW+w/aR92upi2QvKmadYxKz2sINUt6H9UI1hIgH4bBYYIfKO/dwWBCIBlmV
r20ngnqjLXREs2FvWOBsLOjdNhHmEbluMyIm/aw2oAzXCUgojAIuC0uO2PdA4DSuCAdOlpzgsa7f
FFLk6DcQSptx0OMjpMFxVPT2ixxf0VkPg+MiomkK8aUQSJx1KidzicZAsIgfrlR9Po8IMMZAfW6U
GalA0X6MmbGaVg0ije24XzZ9t9IaIzqvDGsrKuUyoR+5rgLn0C6pydaSnxy6DajYpiR9VxnS9WSR
LlJXSrKyZXca2+akpCPUrNAA9mxQVFHcrCOsMS5tE0o1P9an+i3V25s4EzfoPnLT77O2uFRkOh91
A+m7rDZhZUUPAM59m5yegCE+YBhCffQyemPHm/haRU2glY6Hj4RJhp7fKJY5bCqHztWWsJ7Q7GzR
2JPXDP5vxI3B3Nm2VppaRKc+HGj1KTc9sq027aiU1xbpF64F/kdMRK+4XeFVGnKLWDnCtd5A7CR2
vauMu8Yl5pee3KvpuTZoMmL44jmzVdR3c2VXTFo7tBeqgp7BK7Sw8ZupTrbfXYo/me3+uPx6D4Yj
yRIKInY/DZz+B8EkQYiDSJHkXWgiqjZ6NmjPRCc6PmUaOsR/7n/v9z+D28Gv73/0Zgxo/ez5Z2vS
5aHfboLL4FUg2UYU7XIPXHah326Ci5hbcOchP4F16Ls9+9tMljsntrNFmG3YMCWWnumP7oyEUl1z
LdLecEX+zfC2D7pCujNnaakELaBp8mqLovz7oaythmqW1WYJKIirnOtgmZXC1hlHZknaGKr7IUg3
GRV5kRcaJrQiesyp1sll2jgc9iVVvN1J4pWV06wEa2HkgMcSuzwH3VWekri+n+gFHLcSK6ch0MlR
YOHTL1h1gCKpJSD2vY0oE5sYBAYZILkW1mLG15rsNpM4NnUUF4haegoMo99GABuJWHboHkUboXhy
13NCv6iG00p1wvUclBT8uJl2nTWQSoDndpyQf0wTk0nLbUzSszGg9b24IwYYe9K0HrSWFZBrpL4l
cIaYtfnF4n36Vc7zSpctVdczUxQjjISgSL64seuspwD/SJfDiIJiv58LI9hnVULMeD6uywK1lICt
eDBNZTgPYsZBeM0Lnz3nXSxzzpUMCy/24VPJDNBMptgbZqopq7sl683ys1Te4RU8VZKuhoqebGmG
v7oMOvrZolsVSlb5gyFgscHu9FLZHQGEot6aSqIbemVb1URHFBpurR414iLTHhAIz4O6s3XUNFMa
v/SqfgyL+WLWAAB2cLHAf9cPWUsH1ZWLeAREfuQgLBKcQqxlfWUeW79MEXk3ZUJAQctmLtOsfdJa
V2kAHI78DSihc7iWRu5sBqX8IjUifDXRMOkb1oYkgkHkiHbik5p1B10nZyk3moPs+c4EXXMpYwsy
aMpHI0i8WhvkDzXEhjVJt5VSP9pmhGbYxdgu+6TcpWqxSitlWycKgtiyOc4pd3cTc4/fOdY1WT5H
UgOJR5j6kW4MiKaW4iDSy5mbstGinE0FwQ4DQWrItUcEP5s+KY6hETxNEuRgpjhQXHVrZbbi3pDy
KdGhCapZsppka62cOLwKSTZTx3w1hyMLa/elhrEEzavhM2ysfShJLpgt87ztmlNcNlK5KsknmV+n
ESe8necrN63u0yCUABjR+qDtORZdWp0lrftYphT3Zv3i4IuvJefNHG7CwqIvG87cVtnUQiMdPLqI
y/JsTJoLqHmXfUEYGcK2bpsFHSyCwHwjUK6DqjjoBuD6wO49o+jnG82aj6GssRBlUFnD2MR8qlu8
rrGtMkYXSI7WjJh3w6xf1uZjo9Dz5517V7gqXQcgN40dL3jO/RDpXljNl93MyrnHBTeZ3RU3O69m
pqyh6mFazhkYyOBSb9pzqj7iB0HEl118bau2H0zhzVxRwVg1eXDRCIRTq5H5GDlOOTdU2SdDftzo
qbXlLMXBRwwUpN3IwdSXEYfY8c0pKjVhlARBLoc2gnHswTaKt7IWL7mjpTjUsvu5CM9NTPoY3Stj
Zer0OKImDN1Oqs9Op9A9ptExHlnOTEJc5iWDGKbm6mnQs1cd+eBazMNr1yhAc63xWh+maq8X/RNx
YxtpiIcpto9ORoAzCckrALxICI3G2NLbfypGCpB0KCg9pm0flCtR1ZdunB0EA465YbNhyuCCuAfy
va10hwHWPbMV887pghWv3Pu6a9yqwtS2kYk+YpZqxawjGddS0Y4jl8GlXbrX5sQkITNihiI9rrMM
zs7CC45LhsSm3a54r6SUpY3hu7F8jiTLjnai5rGybK06MOjcLzGz/KbVr1M+E84BFbFlkXlt5lzm
iCIIWOa32KdQ+gK79vp5iP2hT7aRJLYsTjIXcDqiN57OcRgLmwtO0QwvIvpVj9i7/mAoarHmFzrt
TG28HsmgV/MK4ULJGr5zCIAZ8adB+gv3Y8l8X1mlDtsZ4kt98nSemM7Ee27H0AQNE7sLSNFI3mhx
sEXfXcNCsDoWWsTUuWHzJdWQHioNWGPTnr1eyiPin5pvTQX3cTyHAZ/4ii63HWJDM60uSMzL9pU6
nMJ2vBZTuVYCfdqYzIxK6e4Q6A230Tx1m6HTXlMXjlFj21eksiXreZlD/VNPfe0nqSx+XU9dZs9f
Xuuf9JM86vdSallv44RkLGcy5l5k1r+XUupSMLHbtiwDdcpiIfpWSrm/wUHUF7gAxApVLACJb6UU
gHEkYozHwbtRZFGbfVCY/ZnijBS4D/0kMm8kZyjOXObqC9Dtx1KqnwaEnMDnTy3MCt9o009lP13b
ZU8OiBueclUmX2hZCpw++i3mURaluoJ41h7elEhsYPUYWD+5x4SkXogic+B1E9AS18HnOkT1O2bL
ldcV1wZDDpbOZbAd+uBIohUwmcr+3OnxjdXPnyIEtr6WYVjVKsMfyyjfpXZ1pi/i89xenLBusZkz
7YbXWg0tEyGEPRFm20mFncuMHfL/sU3dO4K8UF6m4UvSOEejDq6EMZ6isNmVNlNalm1XWiTEhmwx
vOZGfzlqdrkG92B5tgYnBUDoshPzWM37uuxokA2qgaFiwAkvfeO2oGbYozvrjvpsradczLjfGS3m
NKGVcVu7oNAnd9Xp+rrDau3JGp5gnE/7WQVs0haR4+GHvjfdl7wMVrU2LiLiM7tvHzrxf9k7rya5
jTSL/iIoYBLutQplu6uqveELoi28SyDhfv0ecJYjrUazEXrX00yQbLLVBWR+5t5z52Rdp5C5xRIj
oiZ2+U6PdMUep69eZwdhuFvX0mB86/FTZNA0w+VZMzEmxghmAsoxRMMu3HIXrRepm5V8qjT7XSmi
7qtsp2Uzvi2G8ETOqjC7NYmDWEW2c+fxEwqZR6+0ikCUPD9L4d85if6ejbO+GnXuT5RenFPu8FiY
4jX1/DO9KrCbvkRDowywiaN7ZaTeA1leJZNJ/Snp0xw3G6FEVvjIXXmu2cBFMvMJmMy/hBb/GHvt
obbU9RiPd6Qdb3VHeyHe9ANjPooCRvZrWUcuzl8m22bbfLvTdK8rTvRG+Cc+pushdQNmDEEovo3a
3oTmEgVFJkbtcueYgpSyGJJz6lEER+5uTl3WJGX1wyqdV4tIqTU5L29CDTxfRsOYLyqJLO2qa6PP
P0OeSF9aRYBkjnLDOSpn2ldO99lrgss+th5sRNkRrTQojQZ6xNBhvycdC0lxvJLalAZaDMx8srwF
JJE9pR0/pBlBA2IwRJ2iMO86p94goIL6XEh/A563PoZQbs+mqp7G9jVvDhbv3GuBU6Fa8oviiA6d
UCrc8VN8Ow3SP4QZQ9DKbUfmhZTLuhrEWjVGCtQhZtWp1d9o9Tv/GptGxxo2DukbuiJr5sf+p/7B
7kcPZUKEFOq+DC0uWC2ynhKRVhuBfkL3baA8KCrGUjApXTQWXspIpPR3ACOQXyCwDbBZ5sekFu6i
ajQ29WC9Vr3NNbPs3fOYR5qUL9BDCL0TG4S3lhRB5PnjvVej9qji+DLG8+cyywDF7wUJLYOOboQF
CmOW0Qg3pePFXKzRNnfd8yjEEgEETNh7TlChxJ7NjgBditN1h4RSSOokwKFbyRO1rRetApPwq6pu
qenQuIi4jM45qpdMOPf8dI1dgx6mTdEkoI/x0clISzANCof31hFPVWW9FLpLi4m2Js0tJCDNPG/B
zj2h6cNKOaMc9yzjPCziHESlA4Dw/FpHt8OvmpAaKEuazkaijrjHbID8Wdn3hOqnTt2nuklODMre
ZQvkWC/ci4NOyFGVjnKOCpWsXNSBHWJ9PTTe9TG989AZ8eEhOEoJSu0y97Ho+4E3BFepPXjxpiGW
l7WACJAzzUSwoR3teJkmXj2XJXgbmweEof0qYT0OhQSJiHFkP3MVqu6aSAkwy8tGHR8qgsaeJDor
KXJqSi8NSPmeiXTuvrSYvK/Kb9Jtp/wE0gqS1mV33y9bfJN1PsuaN20qrmPW/Nqy7zfG6YO0w/R+
IqBrLYdhX7cCPwlZDYEbNR9DBSxLk7hXWNA/Jp5DHHf9kcxorQDRFw/YK/ZaaT7C3C/WYc2nkbsh
6Xks7LyQcZUzHJAih0HoKJBV3A51B4RgwHFQ5DxrbaEYg+WEsErY1sZEEZ1H5YbxbgvQvGv9H2bR
du6/zJz/bP8XuOd/r4ju3z7ID0CJ/1fbf77y31WRAckP+R40JJdo2j9VRZ5DwfTrd/iqX1URpY/l
CN1bwpEQFy8F0+9VEVJj5vVkB1PjMJ76O1URRKb/rIo85AfI8bHrUxctVdMfzG9W2pe8lOPAAsrD
jYMIcAt7L93U6SLqGjvEThkO7NEW/euQFlc1scM7h6EVr26SLA0iEYClZ5C/4mywUnHHTKW7TGq0
K8ZHb3ZozmdfdV+D07SEQqCxr/Pwnnhv51T2jL6n3mq29YjCl3HaJo3ipy4eNgP7aLLOvCPdzRG8
0jfZ7U9DTPkgskuTywCPwt5PqJb8tIhXSWHVbIZpg2cyw5f1dsugm4KCcvUrdcXj4Gg/sl77GvqF
pU9G6Xoc0IOVVfHZLKvATCfYXWd8bsBAWg10hKved96nGPo7OBljnVO3UN3RB6qpeoqL6tZ0IsIt
JNkLk1DrRhEZHsmdik5RciDM4o5V9MnKw6+Zm2sqbxyjHgJLZueSCmAe0+eC7LnQDD/i0n7obeLd
9PR7ihZRU27eesvcyFOzvumjFqdSR7SCgsqu8jjfjh00qsa3mkA6030BmCTo3EHssV6layuPJeWp
op4gJ35d0Hat2xCWldY5bSC6aJ/FiMYKzdopipA728jNYEQNtkonbnwjITXVrsj+kA23sItWcp15
Rn3E/ndXtSOaCa3Sd7h+DlRKSSCtLtkKldp7FfpT9lRGmhudzHYuniEBsRDJ2Qfw4+vn9Wg5Axiq
ZGB56323frwfYzbOHXhFqhQOpu7nISUB6X8C2nE1kDp4thJhhFu7dYyLqyfjuiV6kONyomUXQ3Uq
ZjN5xOD2JAnv2VuO/yODcre20Y5fBpGagVYrljiT9+CXw8EqiAuQIQOYGceeNIxHTYV0uIinNmM4
l7t+KKO7QrAMdVuzvLQl+kvkHCur7U9jPKH96BIMluAYoVPl4005USV7aqgfCIN8b4FiX7mZ2aNp
jL9qAw3+LCZ9k5AAqnlViCWU/rTQbIP7p1N7qUK5N6WT3zdOk5Ph4pYPmcm+ujaSGDNf/VB5XdB1
DsXXQutgErQfHao3YqjTdWopvF7VdKHwCWmZ5bguoFFt7IQFfucYuOyS0Dl2k/42hvW6iYcndLvg
HUtk/lVEFmkkfOAJo9AOmuYPP7J0QPkzN2GQeF25g9CVfWTsWPa5GhogCN4xG+Jx3+Pm28iOcW8g
seOtHNuXt4NlhNdxZMFX7KdzSz+HShBiBhJW3syil9tR98agM0sySb2ZyaGR6aQ7jfPmnw79Z4e+
ZB789/vo4St+K97+s0NfvuoPd5G1nPGsLjzn/3rCTICzDhapBeBvutZyTfzvXUQEmMBC5XmCpRU0
96Vv/nUX+b9RJiEaZ0OLAOJv3kW28R9SNGIDAIjwb/lYwn9avv94F9FSY/Tl27j0yMbbILWQhtn6
Pi1LDe1ktAGywbqTzGFqNnXgADdW0GIRCfX+sbMJ0qgty9hG6fTgaRUDpJSarjQSdOJOsUlV/RGZ
o8HIt1OoqRGqKS2wNPXUerO4mwpSCxzp8BCLiaH56AZOY1rsk3t5QjunsOuaMfIe451I02+dQnKP
y/ksTTj3a6ci4TkZ1d1kjLdunzq3DQo3xvIDnI+8pIX30JdCKGVEpoj/mPzaZ1ZZbLwxQ5umtL1B
ttEmRY/FqZ98GqU5qqBdWp2uJAfJaUMg4zUBrx2w2FUWlsYlNDFsj6rk11Da7F0DAm7NPz8nOcEp
2AL5V1iXzFQRK/IFm8C3hhMF5SWtYsJEzH0nOeYAHL51uQWsJgJNW3W9vepDQmDsdk1e6VWvob6X
DsOQpGim3RyzSZUKXohCmi+JZ9zonvZYz+29L+W+Rj50sJv5Rg7ZFHAYPzOS/6hkdUa37a6kER+x
Ud3YXfgQ9exZh0EGfeZ/y1ocdOWf7JZey2zx6BmlcJl1Vy/pkB+dMnkd065dT772PUbeEveCmzrv
f9jgqusSebCBHn+dlqiOSocfC+AwNglxFF8naAhYwLTJD7OsbrwpfWKrUBAcWcFuK+2RmsUHnFuV
iFfa9tnp21fPGTGmm9UmiwDyTRFHcZ03T5Xls9zWGWuPnkPWtT4+VHz0ORFu1jrp9W5TzkjznFxD
ei7UTd1y8evuAKZmVh+i7l76OPuk+Rbb0DI+6zBDSTDG3bHEPRVqnsX+wO23zmiF+ANaEmd4XHdK
p2fQ0UZBoDEaO6iFdSCeyd+RmMdlT7IHE1nve0phzGQtWq0lgjYc3I2RtlmgnPablGaiz3RKHt79
GlBZlm/pOZZUPH/lSh+vPaHjqxBR9qqv4jkIgTZCeya8bupJjHF8UGTjxerDvWmXN/FYXpzM48ZI
tso8sCUJh5PP39mK7r5uBuKfJ/cmK5xn1y8uWUlk+mClUxCm4y5DwKY3yVdbdi9uHutBNXZMlNKa
qYDrw/D1MSx0abmtsvpkmmrXasVjG6lD1kTXXcEIwTDbdWJON2be75loUHwNPk/7SApWbs5HT89f
4zY5205dwsMb3EPauNemX5yTrt7lYBzxm0wma7JsBrVINRfFBnEHkZEcVJpcmyq5ZvD9mhtjg7ui
BapnhDgc7GdFRpFZZGIXc8UGY2o4aztmVkB6B3qNyGVnqLpdJAq06848wk8u7gYnfJ5Dvr+mVsxE
Eoujh68jw5DcHUK06jQ7hLP8akpLbCBUL9tMc68TsEbMHNoRnx8rvGV4daF12w2AiKxETRtM4iLI
eukQj6Z/k+l4JRLykmNcCqjIiHUrgVEUyevsWA/hUupKwsnXTZdrqyw17qCzvhohZj2YqbemxiTQ
mIlH89WumxHZNqUXMoXqbyV7qrA0H/q4Pem9BhC59o4Jlu9V6Ba3eVOCHEi0Y0zoRmJ3ZaB349GZ
PApWDPQsqu2lQsrXTonKJBdoZ2Y9Ps0lBDxktmOgyfw7msOHhqj41WSwiLCSuN6Ncfopa/sSVUa5
0r1hDtBVm+uSbulqiLR53xEo7w6M8OZmvp1Yvm4Yd7Ba9aP70Uo2ytT2PrhU3y8gRtfyiJSJKSlB
4+uGSn9nDQ4ZZ05lb4n6fimAlMGcemvaMdmNZow8fujPjioeTbu/npGDogJJNqIX2yWNsa+8K8In
9ynt9H7mIVoPs5OsmGHvJtf4YA50siPObKyKGyrATWPIL6DlcKybt3mMNrh3YxQ+MIgs47UCrxBm
ZLdhn2TgoO/djtM06rai5yEgAJKTG39fgqMIQnm+Hif3oVbJaQZGmHUclInlVEwj3D0vNxmHc3Iy
LPynY+tfpD9HO1MMTznPLeBwCnt3kJSUpoZJUt5Km9mI484VlpDojbtTbqokxmRMibvRaUovnsd6
VcOHspOtxKls3NulytfANB4Nt3tNsziEo+qxbSEjkTlFDSx9NLYYe98teIU7SeI039+7TBvicb3q
E4s1Cb+p0QfE3c9nFKM2QJXmhjvvNAh+b6jjq86HgYIjaW3VWrXxC/UZLqwT3W0+rbi8pKmPHFwL
WY8xWTdqR+HUmbBqVT524rETmHAUYqiOEyz07HPskllV10nJmrPaViraT1ifwFO8M9mH6aCV91MF
qTLR0h/M4D9QjAE/J6QRatqOOoLPIOzvDZsGBl+VSw/kHrBUcBWXqBHyJfiR9gqBqma0l6Uejoi+
y5aYSDgJF+inOcmb0bXOdAn3WP3taWWEBMN/HUDYbbSG3Ed2xm/ZEkVZR9qLvoRTSoSrnOYtmZWi
j3dxImxG3+z6DzpT/+Zc5XkVE92e6IsdK2n6eaMbfhP/ixr2z1xnERr+9zr6X64OWb7Jz7+M1F2+
+lc9bYjfDGvxZyyRVz+dGP/eeC3gbDSanEpLfYxv89/1tGXzO9g3CG8Aak4ZzgrtVz1t/cagiDIb
ORJ2ETiNf2e2Q07En2Y7DEyQijqsvZjuwAr708bLH22tJmw3PmuZZwb2kv7sMR85OD2xNb1cwqE7
vNhs9yeN0GjsSoxvwqFp08cpzXAk/oyYLpe0aYzC0ahzZOj97fgzkFqhICWdOhqbWZlcPD0Ul1WD
ahRjvuUs5sDMXQKuaR4kadfdz+hrr+vAL1P/oQjQXMC4czSnD0WF+4HJRGqirNEJTDXIj1qZKUjF
ugYuUCG13E9xwpTdVu5TafQadRnOxacafxioEbvmJRSUXzmL5aZcZ1bt3VhZX7P+aNJXza7tvfBJ
dl2x8giZIxiRt2LCz2HaYvcESD0X0dpL4ML5lQkHWS/WhZWqk665xdl1yv6OPiPeSLJ+xXoho+1R
JdhMYxqPurIgIIDKpWKbje1uXLleYrvgaHL3jsUBt/ncFck+l+78UZgaZNdITG25nnTsA+ZW+XZK
Fy0slVUHr7e6nc1YR+N8h7H72iVMKTYZntiNSMmtLQHKxWwAyfFGlEInMVjz7O/9yOOPTbWMdi5j
t9tW9ukPFontre+2Luhnx2AUgzT0oRjqs2+1NdY4jZ/mTQmKQ99E7WK5jMIKrRgRFyq8eImZvmZo
XJHeYFzDVKLAGA2lnuR73So7EAdeHaYH7rh0PBZuIoYvZ/CiL9/y3Z3qrHCbJ3G1GP0BObRaOzH4
kG6QeUn7AlmzlpeGqQMrtP+lkP5zci2BVv/95HpFy/cX/T9f8+u8QuwIGoKhseEbni9sDqV/b+jN
35gM6AyBXUgH/N/fzysPPK0NuwqnOQARW/xB7EgWDUeM4wEhpGVfxtR/Y0PP6fin84q/gDw3qguO
RxPZI9/EH/v/Tg5pmZvpeKk7gl1rRl9uKB86k9VTukzFZqOsoCIZ+YWYjuK+XaZnMLLUXpGliDac
qpqtO3B9YZ0tV+hItAmQmdwUkZADYWuZzsWM6fxlXlctk7tsmeH5pPOui4Kpta/C6kEw6pPLzK9j
+NfzCF+KiK3psEwGjQjdkyIpfROxAgxaBojFMknMc0vtUgAVNWYii2Fj1DB1HJf5o7NMIvNlJski
5ofGEmfvM67EHZE8NssEM15mmd0y1QQxPtL55uYlMbyQgVnn75sKmlQ0sLTvCuCxQw1UDQ8Fwuhy
GQhG7kvFu7wSxEETulpcK7r0zNdeB7QQDAcVB5qd0qrUR10JHGAROdlRf8ykdkU1y/LaOFXEC4D/
gphSUfmiKIh/2L14AxQ+rqqheo6w+km7BGMVRxj2ouS+E6SOWrnmrKwSlZgTMVSe+2avOcWXFZHY
PZbO0ZHICbqZ4QcHHEs0zY62cYh7uLRnAOp5uvad+r7SwrPIp3dvTvZWSAskausznNobrQWLn3lY
rWTHGLwZvLM1k/k7h/PZrvhIu3oM8DDRalrvpiWf5yH70MKafjKOj2TEXPDRxzQtBgtrPDkrbTAP
NksaaqmxDYbIv9hLQJxZCMYrznU1FqjWXAu0uBG/1tF8i6DlivYRdf44k8VXstHn+RihZDWZd7FI
T7fe2f3Y08HtGP+4cXSFnHWm3zJkFOQ2lTfuuy+tzbaJ8gSq8mn782IM2fvTUuVHgLkSCDmTELMw
rrF8gt7qyQwIF/BbtCDgJlhwXgMUDnGbeSexamLfJzxHwI5r0I+suBanDaILMPpYCPQFNedkaBnK
BT+nTYDoogVJN/CCky2U77H23eULtq5PxGFcQHb1grQrF7hdCOXOWHB3cgHfocgpAjMcGGEDxbOg
402TuU8WXF5m2w8Sfp65gPRciHouZD1y3vPDwMJlVSzYPRf+HoHTQN26iTnVAudjqu1sRynu+wXc
F3b2NWB+AMEL1E+H7idzBeYP3h+MAOPQVAmfEijA3HppjfCiDdF2QOy3FUOy637iA/1C7tqJBoEm
IPBADMagBr2q5lXnNalrd+QHW/zAY30c3aE+ZBrxB3liGBdCqKwgVFp8RwVNVJGgDyMj9dw34PMx
c2zMib1yzoYK0xo9fViPt5MBcX1CnHdsphnrAgiKvd50IP6JVNxNUegTq9S0h7opr6JYJz47Utax
daL52KSGthNYnjZVU986Gs3RnE1HTY9eaq2wbsyUzQanX3bQEuGvASEcNVbs0RiFNJL1a0O+93db
okiNeY1v3TT9mtOZpVDpk5W0+nlt/HN/2hTA//3+RLqNmXv6iyuUL/v3Fco9KRzdwLUN49z5I1aN
EbpjWv9qBBae+K/5ufEbVT5hkdDTMDRx+/5e7/u/8esQ00F3IvRfdHF/4/6kSv3z/Qk8iYsYKR3/
w7fCv/TH+xOT5Og00ExvSqMW4tSailnEtKTbYDGeBtNfjWPfU/nS6iLq/jEvve9IE0zSCPJw933C
2LipaZMlArBm6Zs7z84DJdyzvvTU2tJdV/VIn7103PbSe5tLF46r9KwtfXlP2iPkp+rSTt2ntvTu
tj98iqWbj4ksUUt/X3nJ1bh0/JafnjRGAFKv7KBapgJx5xDNskwK3El+ahWsCKbN7z1xW3ORwSJh
vKAxZojRxUHgjPau251LhOWrbBlI2M3wCuvyMe+mfJ0ys7Ds7iXyGGIgH/N2xjLYiEjWRPODeA2s
sdwYzD/cZRACTqNfecxGEijOlWBsGc/mPZqRZoXf63Y09WOh21+iK3aWJIddJFfChF4nNRiTnnmF
HI4/7e8LXb4g9TtUo3IC1Hncz86Ln75bA+JiYX20vv8hzfYi5+TZrsaPTHgcs5Y+46ZwbjhdEWfb
w76IUVylHeTqWYOZgyPgvk2ss6q184zRYE3uGithE/CO3XjFITVgPdnGAqrUxY1mD/lVs+wMbI04
OTitV2nsRLtUU862ibCjNkrn2BofnVY7mkMDe9ztjl7F3aMzta0nDqEpa2CE16VJkMew89AyBzJR
zMKxTu0yN5ZBquOtc/pw3NjKhHPKkGLtckfIaHgKPZf6X904urroVTmsqfWbnURyNJomwsAsO5gA
UOELDdEKCChGOF0eWI1CyTSJRONFC9cDNnea63PMR8GflO8pS2int2+GSD9EqctdbKY7RFyPRSf2
vjGWcIOcx44MHL2Intqq+2Lnpa2z2YQ5oxyM2I0fb9mrv5QpZujIRInm1s+aIgI5b4dHjSkNAiVk
nXOuNRurz+4nzcTbbqJqMozqu2AivU6q+iQm/5IJlAPdNMJXq4ZrhQl8M3pjdXEHukktlR6m7ARP
/AIl6hSeDVa0b13I4lVvkfFYEk+/laXPCnlQnjxanZHzBCbuhnctEKJnGtm53a5EMbeyB2zGo2GG
awtzOaK0kwACGhRpYgWzpt0C3483U9nMgWsy7V5iqyC+ONj1LNhh0Xxgvv+W4ZxcnrV7YR21iUlV
U5BJwl7fbTfWNKYBM+SNBxcAUtU3yGbcJa74lrP+6rc+Yq/8XCNNNIm+WNmtFm+cCdDnVDR3sWrf
ckoftLMHGt6jUD5mapxBKMJR/wNJWUtv+jZb+SPS1NVQdbd5rZ06klGg4lLZZ+PJ8vGBkE5FBGA5
mKsU2RP2wBhxZNd9c0uyPxsHE8mb+5aQ6wpKi2DBSssg9DKsZyjBqluRF4TqwMPihKmJqRijDcqw
Pnc+OlQ1K8Mxk4AD+arV5Ih7RKltPPfHDgzE2pTRnROPb2lio1ERMNO6pqXojRDbt6LZO4RMN3Ey
r7t4vO/sBnJUWm7yMR5AQC+O9NKWvHQVr4TnIHeDyFqNIeM6dKJChSOsrOg+DMWlqv17PxR7a5w8
xuNU2WrK78K6PkeR0Wyjzstf5ED8UTj01xrSHeYMy4ttp89MlDqUskO25VgVyCDi97GsnJUSyRbp
wpED/W4SVb9v8DkFXAC3NdPkFXLEoKfa3cU6GVx9awEfdoga98pjHDpiTRt03cb9bQJEjrkLQ6DE
gnBcSWNTRjlf2/f3NvrSPdX8O+4iSnpUFCuzNGOUDo0G8Vj79gUT+y6Wyc7ztVuEEe+Oxbvd5KQV
YThihjkysCRdqzzraBFXsmpeGPSE684j7aqY0EgSbFityL1Z4ELmzq5LfZsClt7mXfWOBu8ZdaNY
D2G5RSwIaJGPfMV1J9eDZcGOGPVoC+Gbn2mfOAc2A0xFBNobNDy8NED7lOgf4ym7HbgT190il03s
Fp2qa0e4/SceNziJgUr5NdgUyXWtzUOQifQ0kSLFYAwdcKQPw0rLnEebqIklLs2u7BvgIl8jg55V
K9KXZasE10Dj0VPltWE5DWSV+cT9z2DILffgWg9dXsu1mEy1yTy9eiE9ND+0aCUtkxc/L61nbRKX
Luk+hybf+mH6yGWvE2jWslzy/EObRBc3aR5w9O8tjaIUKMC4yhdb2CSGfUhum1tOBOH1gjhMZv2B
6bofyVhpQSFJ3Wiqet5OlXdnhEWzsdljofoYy01dM3ZD3hgedDm9ORoPQxf35pbUTLSJrLi8UDsm
UfRGMFIQZcAgx7TeVU3F17v1TZX1xqry9Qhqsv1Rw70gnTJ5FTpL7bRxbnTlPFUYk8N6IYpF1neq
s6e0ehTupiljduEl6lY3VyuUSguIa+LxS5f2LZnAU83Gq9P2Z3yAyWau+WAlCXZBPFmAjdxpYAif
vulk6GUsWdZdEqbM7EmB6xF7ik7uphmVlrJohpWe7VPMJGtUtNx3HaunxgRWVaWSGC7f+wQbjb7K
i+QWE56OWLPvg0qf2BoS9zxpznOB1Zzemwlg0WgPsRweWaOy5kj8NZDXa9UaDPYVzWXUVg0C7fi+
cwiggwl/UJFq14WOer9UN1EO7AXjFQvoWkND5vA+WbCYx0jLA9xwB43KaRmE6uvBbN9Jcl1E/Lz2
DF6xyewbVpzsipOvAaOSVjvfjq49aJbHJVDgTcr8DLs1niczNz/6SV753OSrybU/2t7dMfiEGhMZ
QNUtaGdzjxnByZ6jomjXzSjNtaecdaoV2yh81z22GH4BcQ7118pQ6bG2pbGuVYqLOYH50JCThrXo
NWLWSv+XPhisMVYo4e9cwoDpwqqD8IfncYmScOIZTlldlZums6I1ljTca1nDfw6SQraukliUSsAF
Y1/v0TtmLumAvHffjsnmnmdm3ESZtUWt91L3vLqxNG4RukqWptbJchIW8XYqVzj17p2Ez8h2SeQC
Sc05LcvTKGS5lQ5IMq/7SAtiz2CMPDcjU4tC6Y8zpPlxyh9M4h2DoeVIdfX3voc+4w2ltfIR2gVV
rq7rVm5LHae8PgHfxD6LFMtJv3xqY/JnCQ8Yy6+5kMfZp7snG+9gmgB/0ZR3bvpY9wjQW6o8N+Po
I61Sge8dXNy6Cd+kcnf6KL+dmJLOrUZm2NR8fYqfPU9flFsewjAM4qx8C73sPe3URYjmCD7HCKJi
3IY9zmAEHSTUuHdjbGxGG/tE2FT3Y8vUSPgH39YQtaU3He6oKQFBMFnxJg4XK0t/LcfqgAh0ndt6
bx7b1CBILnLN7DYvZ+dlqhLHOzcaxKjb3O7qPpgWC5hda8d/etCfKq4lXeK/96DL9ilIvqK/GOQu
X/irCzWc3zCt6/QCTGxd0J+/D3JZPIHwxINOKIznLP7zX42oZTH9ZQ/k0nL+oo39WjyZv9nItyxg
GwjAfm6y/kYj+lfoDkE2jQdjVLBWcfU/NaI85nEboyA5QSlmeGtj/I26tXLsjOeUBQQm9n6Gb7sS
em2OQVxO873CIxRhWri2iFBlJUpAdMfwSsfX6+aGcQMFk2yNtJ/qZtX2pX8pqm4+RpbKk0PTTeYD
ObaafTBaXWooJ7TuUoRWeMwmB2WOmaF8uE9cwIVXrJzy9sMvI2c4SauW9i1SrV3vlPkX+D5yJcuE
RbcSWK12ekoagd94SX/XNVN3ELlJzT7PSP434cIemYUL+NBtYv3KXNgksmkI/ClL+uh49ElWamS3
UfqUXFEwiOswnGsIP37ov6mWtExE1CEWClfAYwL+oG5i034jZP2Hm0UfqQM7yRV+sa4d+6vuii/H
r7gO+6IRn0OXrD0YxGYTDYdy1u1tl2nqxwAlddWbOtLsIVMGORYDUSK4uJ4NDSGmnw3hx5g4/b61
SvMQ0/dfa5mJA82QWKkaNR7mum52YslJkAg9OZiZSdtezV0vAfz47N35cOsAmvYatVYYeF1x5Sm/
WgMpdk/A5OZDJtB1JybDWuHHOyoV7upoEXhMXgqkBDqHW2ZB7flfnog1Wst5nxugkOCv7KYQg5HW
4sGPQu6UVoD0jkWIR3fuV6xMd5WxFMzc3pSawzmzRgCTMUJbP7fHQFLLgX2szQsxJNk9DBjrjnDx
8ivVhTwWTVI+p73An5M0nyUt0z/wY+NfpxZLn///1DpWb41Kyv+cnll86a9zCwIyx4GB0tRkCcVQ
7Pdza9lNeY7Nrpz1IBM2tuK/myEsvglUqXScJh4Kxl6/zq0FxEHP9vMvw2Rh/535meWy//o/xCFq
cMNfNKjMYRYW85/ALGyninEUk7xMGsgYbEzKIJmuLL2UwBXkJ4kgDS1247Njyx07WPu2gR3KDlu/
s0Jxl0n1VUEZYsoWH9K+v4pdY9vj+8sQMGn9fMxL49orDej3OH56MYJQtq51wtlXlirOpvC2YeTS
iGnbatJuERA9ulP5bPOEe2HDu4KOk01APpWHjOTeWEN448TWwfbiJ0kBTDjy7ZTlZzUlQe/r53Gx
LPjOCNxrZqfMEiCJHm1KLI3/ok0uh3c/6U4hqsZOWj+siEOwW9SIzraz/KteNOcwjs9+NW6RtmDi
rs/KxJ1aNSdods+usPexYZx9jApaBkrESM+LqqVXSObbOYj1/tVP2ps4VqdomNZsm3ZiUBsrdxDN
1htkn630zQ26W6ofpaiUvDd6LBKsSWBI+4PWsn6zW3JS551G4VTUSPZqeT+1tDbhmFwi28U5OwRG
SjvWFvt5au8Kr3tHO4vavjzHYXPdO8XentWxkNNeNfS0Uf2Ng57cZAKlQ/9gReLOjV0w1Fq979yy
JC55OGXK1VbGBIMtzN6sStz5tbOOYUzRZLkXpXXXkblQJfqDnMt162p3qT8eDD18Aq8CzhL1F/z6
FdMChF1LRRjqzdoFt5Z4+YCprhlv8wmCANXUm9tDv6ybceexO2RUV8Pf47QthvG9tB0f4IrkEty0
kz9w57SeTPcp9JNDV5EmcxHzPCa4e53S2vUSz4xvwLHsF3fGYtOoGga27Onvsqqrj6UjQUcutg60
wtZptOc+6CfmM/mYELVT/g9757XbSNKm6Vtp/OcppDcLzABDJ+9NSTpJsCRWeu/z6vcJmWoZVqFr
KGC5QLMPGihJQWYwzGde46noDI/hhaqouxGyIDhZeaCvkZ+mlGLPeaRxmqrjSI+S9miYk9LUgnLS
WJBPiDuNWQUfJdAxlUC0FskmDSfkUdBWcFJU0ZSqrmkDyfPIRIcyjNXzwB6wUg9/dIL+4kjqlQQf
JrO1GTyF01E1Fjp8maKKyMKhoSDKtQrQ4LDD+puEZGF4XArSDb9L6pRzDWswcgLBzMkwuhZUnbwl
NncFfQepvGgW5vp3z6OYJguST14VQKx154SwF3BjHz46Ei3kVod8Rxm7mEWqvfJy5z4d1GsDHhGf
36elKoNDFiQjLaf65wviEQ08Av6IYnsLexqFjplmB6ctbCVgYDd6P/xoLPkghM2EHTNW01IzxxPu
BvsLIG5xccKdVywSQYZSBS0qgx+V0mulmx1Vc9VvNSrwZKqYKtx24cgsFwm1ccH27QFQ03dMF2HU
77tSvBvKaBSSy92NGUDNuO5PA9n6Tnnge6+3tFJ78LoIaUGUQRHQ8uM9zyZcUgt1YecxmpCauutm
6m1dkLNzTMGgxhyLlBUfzeB28BAsdyT9IXCLZGY6kK+a+rtEGlmpSKn1royjgPtNgwoDVBvEq9pA
KYuEa5ikiiS8mYxlfuWjADqTQ6FihNn4pHfdWy3GD8lFu4L1pS1wVIP56XRsUSxS8I1iW5adTVqq
aT8SGVR063pC2RxMNNk+YO5iPwhGk8/WHuR2ddon9FWHsZnYiYYGCgVksEKpLB/UnU1XT3IcKMOU
Chu5P4p8+ZI246GR+lfKYOEgDfguLUOaAXqnzcxeOqJ7q0zSIbouQfzCNcutGS0UbLd9srAFpTrP
n0qZK6rLtUzht/X3dVhRftxSGAEfvyuPkDGHFDuLtEqyRd+QWUUDcScFHUvp4/Mgw7L13wzqKRbR
f59BIWtKB6f5HIiIv/sZiCBIoZuKAonSfOFX/kTCaMhOoLjF2appBnnUz0BEVxG4AOYCRgXVNgd8
289ABJIMlUXRfKPqLITErD+JRCBzfoxEdNV2LOguqqYjwWh+QMIoqC01UWlmZ30pW4tU1PF0KrmT
kfKeb7GP2gHIL7Q1+ZSHkA/lOKH4agZWtA+NM7sNErc6NkXJsdK04jKk9bFn9E110kVu/gi8Bj8a
UeH0Y2uwJsi+IMfgSJ2GQIDUn1VlUp8WYajfAVepF4oLbXTquko8G1M3PYk4FB9tWufoJIFNURRa
SJ7f7Y4ke9cUc427GPOSy041muO68i2ilRQcmNVI0UIxYE9qjVxPfK1SV5nRxLcGDJk9z+C6T3O3
WrawaOcQSVDBL51u1wq78rDx2/yc/vgchECNIJKXz9pO0WEPSqnePmTsQP1QobY89Is6i5pdZawb
aaV7TuifoJLaFLgfV2l5avkQAyxP6f1LP3QkijoNVZaxRsunO6FuTS1d9nQY7ws0VW0L39g276SZ
oXpxcGhKKQB5ssPhe9iqBUrP6D47hdvfmV2sLQFRGhlgETNdoHhjHAwNt2HdZeNSiLuhxawG8iF+
i+RGnuJQBm2976ykYCqn47h0K39cmUF/S+l4kXrBgSTEHRIF4FJn0PuR8o6io6004HsGG4UJpR6O
oqzn+qmdqJ/0SYagddB5waJKaugvdHixrYqKbzoY8v3YUa61qPD3cqmAsCB37cTgMkY1ojIvbT9P
9msJq49cLswTEld5lqiUclEaMugTVDL2am3sfJesTjqAG2JR30pOSY6lWVm3nMeSVPXzLi6Keta7
ATGWlFX7Q+6mF/AQCUbk0bz30K2fjQ71rx7uy5EVUlmvJPCZigudEmjHcFRFY3Y3Nr10yOLl3rDS
7jT0SvfWHpPuOhUF2ibrg0sp6PMzX5R2AUBY8SylW1ZNqgrByhZ8ZD2veqOaeUTFVEsJo/bUVl05
JgWHGHnhvtPOB7O0MfHMTGWVi3J4ERDvOHkFzqqzjX8RFc95oc7B9Nu8UKgwUhdYcxrzl29OYwN4
qgErEd3EJ9e5n6exCsQQQXhwzNACnyiBr2mhhWUONjWYM6GM+HxQv6aF5o5NqQsIoag9PYkK/UE5
SxUwy495IYxJA21b0I/io/DzNxx5x+VY8Gw7P02JkxcYQJao2cCajvv0WwC1bq6GpTKpVIjMcYRq
w2jU+4Wh/GiR04OhmHQHnaBTIUZI+Vdu9rzMmwPPM+gAZ0jKpw1a6rScQyv83rklwvKUocCbwc7D
vi6dW4lh49w2OGd+kVwbJZC4otMGxLHGoyEi3/BqVDWCb26oXSHel55aQmc9E4rrjdBel3slOEhi
/5sLaoy8yzlHw48DA70shPCbhYcQ7FWKlpaJplaY98NCphnEhr5A3vC0z3JOD6k4aQV5US92DSHQ
1aLUlXDII/FCVDlkx5UQ8/JqbTeSHR9doeqB0vIIzdhr55YQAdNQA/OC4hLKMbQ34igHz6+qLIN9
KCz3igJOoeu7k9ajYWKPHv1qoTjWJ3u+0CDrIySQ4lKQ8ccLlwtrzxCKZZbQLosDqvMJcmY4VR44
Qt8sROhsRPAsFMpnQYEGGkJmu51QRSuEPpoklNIUH4WdBnnYBhE1Taip0YCH1IGQCVLhF6Q38N0f
VeTXLIZrhB5bIJTZfKVa+k2qw6pHtU1Hvi0UOm6aUHTTTNwAhMbbINTeTGTfbOTfKDRlZ0WiHBdC
GU4u0IgLhFoc1V11d1TVK30U3ZrWmWHddZ0LjTkUFMltSWFM5OdAC+AbiM6nizAdoAasBrNZHcu7
McJ1mVCwU4zgm6OjaZcKdTtX9HwcBO9GhO+GYrglIVogLHivC2W8RGsvWqGVpyCaxzv38x4ZvVbo
6SGHgP+RMpyFQmsPH7ZjR6jvtVr5XRF6fFimqKQDqXnvS4k1Lyyw64AOKvSwxoURIVBD3Ewbu5Ws
g9zLqvO+ylQE7wZgfExQAfXLtB/t3O4OWpqUtmstyrzfE1jxwdCQR3DLO0enfacPmAhGOW9BykVq
t1d2NGoagym2PXdXSvzxWsszZQIEp4MsZF3ahXlYK8Mq9otopkTGReyCxzTHdj4mONnQpFcc4ofI
1EeCcP8xHHOHHNp67C0LXp2NTYDROhWi99V5TeeJjXgMKcueWWWX0wRCChMXVvx/9Tn8POEmY+Mj
0Q/8RY/lcNp5wyJU3B9x7p7F5dCgI1PL5IANHq0NlvNgmg4LNZXno2wWe14zoinUgm9OD7pQBevv
qndhTsZC+7iGgizJx3C5jJUsu9FVJuv5XtzaA0WJ2KdF/m+m8JQpwJ/5ze1013xffr6XxN+8uZcI
+AnA6bHApflg2AZ5B5k7S4PS8u5ecjBeBVxPl0X9yO8BSi9A9A4/erJ1+SO8H0XQj/cSpHv0h3V8
J4UGidDOe3svxTXFFOQY5dM6zG7hmRootGnSoSo1CAGj2XFuAN/e46hyTvrIrRYZJ+m0rvSDMjMQ
EEuBzYA2NY5KCMoTELDCEMPcbbvmMrb7/LgcpWnewv+u7QeljUAOJR2FA+pWI0pEDopEgYVscB5g
2lxBdUsdwTHuEFtBx0jHg/kKY0xKWnn+ADEETdH8ulTQn9AxKsfuuXiIhTBSJiSSCrSSeiGa5FG3
SM9lDJXQkAPIppmHrtk58/rJdamTXLYNTkwxlkwD1kxYnD24id0h8MHW8ugN7dupg3hVJl2gjRmf
OcLlKRF+T7FWGkh8WdbMpcKI7zOXRuoO8Jn1cl5iGVVhHeUbxYktvKRyP7oNVO2qzpx8JmE3lSNV
MXdH77rkRg5A+TYm+AfA/3suVlXgrtNJ6Pt7ESZWqUxca6p3CeZW4ehcKVwlmDAJLKMqXyFQj+Ye
X0LtY7YdC5csguzl0OCbVWGgRUaCgm8uyoeGOet0+Qz6poJxVXAeOAAspKTj+BwGuZxSUfghlyD7
zfQE/PxhO2TevhZWF43pwAOlg0u9hW6+ZcaTEF46YPh4ZoG1wi5eIiVKkXUA+Qe7KuKewocEg3L7
1FHzYTdObfy6zHBfITBAoLNcqQVW5s5oeeeSQGaNgYH2VEt5blB/xHiBwUg0MY9HUhSHPATsaYKh
jeNGhjerjSRapDGybx6FYh/Z5qkc26coEEMWN8kyvAFkXaRriIJkB02pnhCSp4A1UGWvA8IEpUHM
WTGk3bAHpQBg5N7M/ZsoQvW4bOCvq35KUR2tZ7TlVVDbKADY1XhjBYMwBfuecGU0dDEPgMydK3b+
Q/eHeeNDri96e5piKDuVKYHvmyjR5WZy0NfGXPe000GJTqFlid4SGAY5C7/JnXttJDiOwMTMpr5k
XZe1Z/Cx1SM3V+EY2MD84BmL0pJ8kQz1gQxYvYjCiyBALaiJ7zq5/I5eSjZVIuqqA4AWu4wahHw6
iAtyCk6IyTV06QAJA33XlAHiNujqANSwjogcHrBn1WZVPXzLNZUygJIv8mokiKzHYjb07X7kjvK0
TeWTLu6++8z13NRyDMPNoMAuMb/V0vzYgfli2tkiJAfH79V9qOVuYZUCDBh3xRSfwWwahbjzAQGl
kIdOZDoYj8K6vStU9Gvs8KhwAYgEeRJNaW7s0hG8t8PiEBLNtRKNN4pUnfP5iIRFnNc5NAxQlOUD
z7yx7ZD1iY7toqeAMcoXuLXdD7WTn5J2x1M4b/2BFA3SfpZQ20ypUbQRQSPJvJ9HF7aZGuh+AyeD
L+dW+67FKGPpG3sYEM5Ll4puqEkxqgTqeSiDgbSpr0wLpRpRfLSwEMxYxAPgLuRzLYQwoLE4XRbP
EC0Hiur15zjBY3RuyA82Ipb/VuRessDf3rOXWbxM1wAa9Pc3LRkcNxjss5cW35sMUBcUM5qC4Ame
ksPXDNAGteAogtpKUkZb8Q2T1t6RyRtlmV0N4EHo2fxBBgg57vNNawlerqypFOMgpr6/aYFoh6Xe
qMOpDfDwDFH65AJrMbhXsa4eDF0U3Q1KbS3supWPibFdFJhbn6i85RByuvrSl7N4F51Iakgw1OaW
VGMGHUBFtwv5JI5957gV+kmGUFKio83ft7asz9B8sucygPs9VEoOehVBxKr26z0l1yKK8HK6G6ad
O5OHEVYtymz3ie97B1nhj6h01eGMeBM3EjLX6VAON45aTHFqXQ5uYh00Qh+qzqTuMEXQYl5mXT/F
69VFxlY+jYSyVBOgb+CYRTTxkZ0is4Ef9sQ2kZ+YJ+hjrvJB6fTzGl4KYpGeaKzd+YKyAmseOyiE
0pELEChZsN6jg4iqbqlnnuLdynBfgkYrEWhICVKgxYDylHZrQZUZBWkG309rHiPQrwhCTVDrUGt8
nCyjONXnrSDemApEBpC6kHES+G9u1p6PZQjkLGZPNxJynpIBFCCiS6J6zkmoUYBrB2ZHEqQfaEfa
DGk05bSqVHs2CHJQAUuIBud9IWhDCZYmE+oP4VzxMEDyirGegg7x51KnlLNYiuSFayp7oS4BCOSy
6412N6kjV3Qd8mWbeeExcgQrGqP0RFD0ID8ll+iQcYhC7xJt2nPEg7VJ1Pe7ahvfqE/ipboDdJTK
wmlbKGeZat/IXoVRKGSCHMOCnjABpAnyr7SayBPgVtBg8BDVNfKplSaHlaasDCNrFpXZXaI1AxSa
C1q4hiK9nsinlufspUm222rGUdg7x3kn7/pKQ5cl9pSp6ZqEVIiee8FpMgbAjGtEgHWwY6MxHBs0
6vJIusYsgypwr+M+B2pvbNz7RC3hNoBbdXz7gatjl1jgukCwncYO/DQgu7DMU3VIToqIpHeqEkE+
6JjeT6nO4y0Ho+7IQaOGXZEE0ZFiFpS3AURnB7njauj8lf2RB2x7/9+k57k98nuoRkYOvybtEaze
n2kPNTed9j0nngEVWAgU/DyMwZBBYkK2UpPJi4Qt5d+HMXA0nQYIRCfq2e9pwqA6VMbSRXVPppvx
B4cxAI93hzGVPRQyLEfHMJsOiW09Wae/KcdhEhHnkRzKp6CiWUCGWEswe5qHMmzmrU54KydutCe5
GBWEinPj1i0qrwjXzAzD+l4n8aWVdM5EldVZU9dc93nwvZHk/aotjnBr9KalgZUjwhoIrQLGjTTl
Hsypt1upXXWYFMV+0VKaHoNTrZb2E85uenkTpaycaYMH8LQdULezKnsvhQEw0jywNDT8OjObZtJ4
Ru/bnQLzvFC1GnyEJYGOS4FtSApbBfCujz2G24bVBFEmkLfmIZjPOBjuYbwAHDPCi6oM5UlZAFtN
jMNELqgbols4ZJl6LOf6KQQFfQJ/7XA0ckp2zaFduY+50x0Gqnmvoip0rve0Z73URXUFVgHFvzsK
DfPKVpUlhTwhfmnjM1/eBKr86Fl0tjkrC2St4uvekh4bgQzLkGUEFH48xJ4/V3gGV46OgzFfVoRU
i9YFoY03aDL11cLYTQ2XYh7d6NJOrrkbT6umu09M0qHIUo96u9it9Qj4AcHjpAVuZ6M3XbjGaaTm
kJu6ca/pFBnfPecmNJ0FErfHiHjuyrUNlsEOz9NEJiVI+yMi/qMOCcx55+a3gY8AMz2acMJRdFNU
dLmiqL41xu4QIVLSiir5kdnlsapoHgK+1A593Z+ltTnvqqaeKrW6V7kkUVXhXalxiXkY+mK2hWxx
Zzb5HDGIRyLyS88ddpuo6xEQSw6GTFUmjSatej0/HOkCmQAV+Le9NKNIqrc2/GI1gBQc1mdpFcZH
Tp9cQTxWIqJQi4Y65e2Zr7n+zGqqH0h174VWuWty60zrpvQW/OKx0hTzPIOlLUfQ1VqpulTacjc0
ojt9UHDk4FDObeOwCvFprUFRz9I0OW9CH49GaMh6PcZTLuf54AN50SErQo0qj3MnriZh4oKTHLRd
1csOI0PH9BO8X0RAokfdQejXIUDr4aQE0Sfr7mFNkZt0J7CGhwb59W9+WgthC4fI3MxS60LNZRvB
KrtMpHM5d4oLjM2AWSp9ALpIXkAegLWiuj8ir1+5hiNP/SyepjIiO1ba31Rm+b2OSFHzLDvn3tqV
/OhcoRBt2/iNaUiS5T0KG5rVopYqlwvbqE8ULdZ5uJyyJIU6rQ/3srrXATbTPHVia5yGbQWUEqHk
GkiTZg4w3NUZacg94spz2Rmu+aL9iR1K+0MgHaUF2juRtJ8C7DdhUHthPHMkdw/I+CKyUw9KM+ob
+nig5fU3pShnvjF4lEj6RQs9ADErOlwBXuxYPQvN+N2OFBIFM76QmxpLsaFvFo2N2T22j4EEUy9K
rdmQQGgInNskDMllS/+oRb8FU5HAWfSJCXoiwomDiFGrnYeqw9gbc8yhtwBTESCBRzlGiHW/A9Q6
SVS5PFS7ju+WqoeEREJVPjRle0pld1aF+hVEoGTiDJhJRxZ+5wY60RG7UMZuu+gVZ4E656XRuKvC
FDlSS3sQiREKFO0eGgjImxUoqmjJmSuP4NwANsCasic2jm++3hx3VnoIrxTpawTMdM++Qx4BeLwt
alF0C+Rdx2rwDm+/yWq+72IXYrbEe1EYc/71KdIPZnahNU49DcbyVJe9Cf70ewIikgftiWuOV6gi
TAq1PnfV5qAskLIqjBbVrWE2jurCNMu5Jin7GX54swplP05hbeEY9SGN1oVNw3jqUEotcvl77Fbq
pFabew1kFhwLQ9tXLO9MEfAgzztHGO3IsdHnH0fU7syxo9QSIWlKhTrKvXCeSIGAkBnNLnCnMwQR
FlGMNp1j/9DUcZEm+awy6UWWtrQAcZpOO1DJQ52f1ZZ93QsuZWKA+eoTw8GYUI1vI80dZl7e/gir
5tDv5Zu4SfdDlPp9B7vXpgwuMPKZqUH5A+rtvGmU/MTv+0URjteRoo4TYPk3nMDzKjXOS8nN8F9w
7iSz/NYX/WGX+PkEr2OLerk9rRX/UAWa4/dCXsI71GvhLKUPUDmok1M2KbAQNasqumljfAJnipQq
C2msu6nd2/NYDqBvEmHmXTLO8LB41AE6zoYWYbeqVJbOOJ4qZaLNCRc8aJYKtP8RXQMNc4OamNSp
o+M6sDguhx53jAxqV6ieIeZ5oUd4Jrcwinq/ejCQLapl4bgznFYm2GRE8qalBWEoNdLrfpBu8j67
igOwxZAzZjnU/ok9dKdtBJ5aH+3LMSXOj5uwOS/RYZsbdHf2dGG2a6L6jlyugtb1Mwb4of8/3ipb
4+6nilwwiwcvS/cf/+s/9B0tEzFLIfxArRe4/YduIYJCCuRQzTlVLpPJrbFoz4opxkRTZ3l1UR1n
B8E8m9Z7wZGx2838vWzhHxig7I793X8D3Oeq/m97zlcNpn+rNXX9N/1mOBKUv5GxIyiFea8RYL4G
uIqzYwA0trENEIbsb9A/mrlDAEsJQBYBKN7sbzTZjR1RmCBgBjSMnQ3AoD8IcIljP6wg3hh0EZ4T
AmNEwPxhBXluIRckas0JjiCICQbNPUAGXwQw1gTZkNlQxt8MxcWMOHOPg9LuZobSVdMybc+SKtu3
aFjDglUxTWmLWSUFh34Dh9GiSED8cUmt+rGFZgtkrQXFKXV4DXTqcTZS/3Nl05smleh0y9/QNrxX
K/3WKbAktX0H3VJxBjvSuIh1SUKSxQexCHzQwnFggiHnDbZ/9/mQXbc+5PSsrnL8wM2bsqj3U1rl
tSN9c9Ph0DctUEvBcRv5R3UW3FeZDXHYsc5KzcATxbPnCQ9GCxU6gKpSEFayu2SQBwSwNDrKNaT7
Iu72oDZcD2pezr26W+j6iKFZiGYG6iAxpuv2Y+EDcbRj86iq46sOkYCpjf+2EdkXWeA8FpVzFmA3
A/YRGKfshfXc7YAA5S3VifTBrbM7t1BPuT4eSGsI7aPSmzdph9qilZx5ObrkfjXRQ+8+VgGh5rGd
zzoMcoiWs4dOcY4jCcWiZCi7Sa5q42zQEyRrC6QNgY8doRdzUOjuEeza2RjkJWzMbiGX3YHnOHue
alxgM/0Dd5KVlZRXGg0WcLm3iTeCmxQ4Jb4kRy4NNIkI81QZurvaF+a52VbHvtP/iEMnm7mUDDLZ
ladNSTYBavKb7hkXej1A2QiiK91TfzSq2RLriD83YEJT6r5NCBWqjIsCcTrYm02ASEodIpYc32U6
ZG01b2imGjLASyumsEpJQqYGYo7RQrZytGdsebeofW6eKOfGyvnWklrtppTVALGigFqM9sIMqmrX
rSBnwj89QNjBm5Uh4GqC/Qsr5lxMjUUDGZAj3BVSAYA5ERflaB+rkNOcFWeAQ5raI4t4qPgOEzX3
5l05XmYepKImtcmc2oUrN5ejrR0EXQQhVkUVuSpcbqOYDn/bRA+Egbc2kiDQSvLvspKV2AG407Kj
pNzJwR5pAigKyd+TMbOZSVaUTmU52zUJXxQ5aKaVLDl7eBUMKMTYqyQsjuD+t5O8CnP6SfW+6Q0D
rk20i6DlYWVjHOCMHVDAQxYYGvf3CiHoqVwqRF8jFn1od6iHehohq0rV09uPVcfXZlHUfVPtqGzn
pVT5wQ3T4NbIX1leNzcDQ1uYbiKnV1YDRRpx/5xWgFPGlT+FWW2dQe8JqOoUgX+mFb13F5C6VDFL
aCI4NSd5RdiPqSWip+TM3EK+hYqqX8gQuh2jP5djCaOeIkAb36JoBD065rK3zarYB9DsQr4O+ica
khbjPjJoU6WLsVA0+wLilKbeRh3ixcf0fQRaPPZBcZjWg+w1eFhF8PKTcQKQwRFuK7pRzNHdsLwr
ubbi6k51Ww+Oo0ZTh/JZYrr3kRH4+rGskk+go903+f83xfkXXZ7Zsl7OU6hYw3mzKoeLVcV39tPh
TPz0LEMK4Sr73/3S64W0fqC/Vk/vfDXkq//6z/IRkNAsqOoyeKjFtfn0MxHcPJf7he7MO9DX0wd7
+tS/HSde8nTNI++gIRwnhOYg7vznrzgDzfj87xJ+yDuWpaqOJjuyeD2/1Zsp+tUk/P75nmfz97/z
68/+dgoowVMP++PH5zH/fnqQawY0I1R6np5RPOS7SSAIQUJDpZCmOE+vt5Hf+i/wnzzgP/mdX0/C
moWgfez7/PlCsIichPARkv+vj/puKjBh1lVZEV43WzkJwA//N8uByXy3HmjmEFCCG3l6UYv9OAmq
pbJh+DNW3v/j3bBmIQhkyh9vifdzYO+AtwfEYogZ5UV0/W4O2BMQl4F6WhwZ2zkJhOkbTwLeTg68
A8zz1k0Cu4GGJlV5henZzkl4XqLP2fLPo+qP7gYyMAXaA0qjv5gEmKIcn4oi9I63cxI2Phd1Zcei
hWKpYjmI16cjQcecXtc4Erb2THjep5utBBW+jcah8HxPihPjXbAgCDk21d4XStD2HYwC47DxmUCR
AnVOqhJPr4/BAmcC/TC6Yi/vtX2TIMTPN54EBWaAApTjFytB3iGzZK1s7ySwgzeeBAvJScSFn48E
EXi83w7EzqJwBFPhdaVs5fGobj4Vzo4KDIfy6svJwAp7PxXKjqDyc4U8b8At3BTPN/gmxyMFSYqN
BkyRlwXxYRJEyGRDjbGV58hk+yZBVF433BQapVwZTMLzkn9KGN+tBGq9moBiw8l8eq/tmwQBW9tw
EgiZ4IoojuhFvHt6ETBS6rY0Y1vDBGXzJaBy7Km2QeX9+XL4eBgoxo7BNsFvbrvPRWXjLAoasmAq
YOT6aSFgVSLsQMgynw+LLd0ML+t0s2NRQykGnO6vqyt0YNFcNp7jku07EV4Sm00mwdlRRPqE6vTz
nvgUNWrkD6iFQmDZ0pUgRM02PBahgYIm5jlfMsmPAZNiczo6Jire25pOv9zcm60E8kSg0JRUn15r
kihalwpgvm0NlZTN8weDIOCppPASJnzcDoRKovICx2trt8Pm6bS5w+NRR9QpYT+9PgQLouzMz6ir
bOskaJuvBEENJ6EGGrp+EtAh02WMYJStzSQFzW+zg5EwQafQimXP85EgEvT3YSPptIDygmfY0ttB
3TxotneQWBHp8kuc8GkSyCEFnAM7hdftwrRvX7Twsls3uSP0HZjmsGheT4ZPxXd7R0UeFGj3c/3l
OWbfvqkwNj8kqava1BThEz1/6Z+mgtIDTCXZlLc2Znj+YJusB3OHahs5o/VSXvl4XdKllU0aEfQn
t/R8eIntN5kEARJT0XPSf5FHMAkaoHgFp5UtnYSXb2fDSRBMEAOm+9Pr43agwAB+jntCNOy28ngU
OL3NrkuEk5/uCaTC1k8CNSYMQGUAg9t6MKoblxY0C6lVuJRAbtdnlESPjok8DuzI51na1vWweV5J
SVFGqQj1ofXrgZMB1pLDbak/zdXWroqNw2n6lByPAqhqPk/Fp7qTvGMgsIcK+LYekqJUtuH5QHTk
kFeROD1vjU+RpEpQ4dDRtre1CqtuHjgxCYAzfu6JTx1rzgeMnQi5X+rd2xc9apsfkpyBmL3Rontp
yZA+fUysyKrYL0JDbDuvy81RLOYONH7Rr35p1n7aDsoO6GHo/FuLZ9I2vyPQJrBANOl0pZ9en1aC
ODnFf5SlxGtb74hPCn9/jvEjm7B0+Ayvd8SaGBIkKDDArW3WfrKM//NJoP9CWgkj6KUM+3FTEEOS
bMhUJLb0YNCfL/ANkgnKTqD3UFLUfoXigHgubE3slzt5C6+IzU9HupUwhQw6lh/uBlaAwuSwRF5K
k9u6EJ5rghssBODfcItNYqZf3RBPk4SwmcCHb+U1KVwtNowaqS+wDnQVfPPT6+OJQCVadajWO85z
FWZrb4jnD7bJeiChorhIh+pXCZWyIxq24Hm2NWwSRMEN14NBkoB1JvHh83pgWj/GjibtK3Cv23pF
vGD0N1sJ7HnkDF/PwE9hE6mUykrATHJLTwakpjZdCcB5kJYEqvEcGq5rz/BDNOhBfYrX1k7F5gmV
Lugforz4a4wbjoyajo/mc5y9pavikxTpn0eQAtKhgGIig356fWrkCwclpLKJsLZ1EjaPnqCJWMA5
qKV8PB1BzFs0qEA5benTv9xdG5yOghWgwYVCV/Z5sXMRvL8iVLRnwbrRnNnSSTA2PhLIIgDymTQs
f3Ek0JIAB07/XmDAeG3tetg8ZLBo0yOtZZi/wvbQwpZF59Z6fq/tS6j051hmg02hcS5qqgo54GU9
fMyriKNNQaHYXiy48bxEN5gEAfwE3EM+8XINrombxKHJNfkH2+EfLJefBGXsz+LHJ2pysKrWMZh/
9QuvpNzPP39DPH5i3b77TUFVfn7zv6nL//2eufyE1Xjz01fsxtM7vfz9yyN+fvN3b/b6XK//uBes
ymX5gErwEzX65YOeLBO4zf8T87/H5VvOsKBNi9bh67+tp1n/TB9+P3oepKvXgd5wsjlX/37Uzxzu
fzZ4snzMyteB3gzOmtl4cDw563UfnDBm47Gny3jZ8pVUr2O9+ezchJuPj6Nz9ekrJfgm1v+CwdO6
xCYlq+p1b0Ggs/FbzFbxXydZuXb+aX9tPP48/muWlSye17HezD8n0cbjL8pVtU5CWGBwNh58N16l
a3xLRZtq47H3muR7Fj/Wr0P9PS8C7L/x8PtJviqDZfw61Jvhv2LL7qfDmm9UALM3/uSHq3LNnIsm
8eZDB6m35iBQvmKvHi2jNWeYQGlv/LGPllW1WjcnX7FBj7Lqr/9JvVW8WjczX7FFj5ePHMCv8/Bm
IX7FFj1eluushQW+aeN5F2Pn2brTXYBmNh9+lT5mD8G600vQPL5g/PJh9fg60N/zLnjhmw+e8dlf
x3kz9lds02OUiNcM/RW7lKHrVbka1gz/FTv1ZJmvWeiiZ7XxhJ+s2uXn2BGF+6/YoqflkiPg9VO+
+Tq/YouexcuH1ZrYURSrN56Ws7hJ1gV3ArGx8eAXAaFjFTyumRnBT914/MvlQ0lKkNZrlrsAGnzB
G6R/TVYIla17g6/YqpdL8QZluiwf1x5koj3+JU8xC1beuof4il0rHmLBDngIqod17/EV21e8x0G2
LJp1t5VoGX7JLB01QfXX6fegytc9x1dsZvEcx8t6tW78r9jPjI8x5GRZfl+uixn0r9jWz+8xRQ10
zWEtukdf8V383t7yN5pq/ygfv/SXa3NCAcXY/NNTw1g7NV+ymX/vwrzxxPzOUmbzwX9jkbDx4PUy
Dap42VSvX+Hf97D+JVtXlFnW3MOi0Lrxmrla+ct17hGiqr/54MT4qB++jvT3vIjy6Oaj/04XeNNv
9aqhQJSsq8sJHsrGn/2GEZp1e1XwnTYe/S6L15zzwgR386F/bbH4+ylfV5b9yb37XKx9VTZc92fv
a9HiNx7i1bL87/8LAAD//w==</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11</xdr:col>
      <xdr:colOff>96630</xdr:colOff>
      <xdr:row>1</xdr:row>
      <xdr:rowOff>82826</xdr:rowOff>
    </xdr:from>
    <xdr:to>
      <xdr:col>17</xdr:col>
      <xdr:colOff>441739</xdr:colOff>
      <xdr:row>15</xdr:row>
      <xdr:rowOff>13804</xdr:rowOff>
    </xdr:to>
    <xdr:sp macro="" textlink="">
      <xdr:nvSpPr>
        <xdr:cNvPr id="25" name="Rectangle 24">
          <a:extLst>
            <a:ext uri="{FF2B5EF4-FFF2-40B4-BE49-F238E27FC236}">
              <a16:creationId xmlns:a16="http://schemas.microsoft.com/office/drawing/2014/main" id="{9E420263-F7D8-CBFA-75D6-9DA254AEDAB4}"/>
            </a:ext>
          </a:extLst>
        </xdr:cNvPr>
        <xdr:cNvSpPr/>
      </xdr:nvSpPr>
      <xdr:spPr>
        <a:xfrm>
          <a:off x="6957391" y="276087"/>
          <a:ext cx="3989457" cy="26366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26096</xdr:colOff>
      <xdr:row>0</xdr:row>
      <xdr:rowOff>0</xdr:rowOff>
    </xdr:from>
    <xdr:to>
      <xdr:col>3</xdr:col>
      <xdr:colOff>30177</xdr:colOff>
      <xdr:row>40</xdr:row>
      <xdr:rowOff>13803</xdr:rowOff>
    </xdr:to>
    <xdr:sp macro="" textlink="">
      <xdr:nvSpPr>
        <xdr:cNvPr id="2" name="Rectangle 1">
          <a:extLst>
            <a:ext uri="{FF2B5EF4-FFF2-40B4-BE49-F238E27FC236}">
              <a16:creationId xmlns:a16="http://schemas.microsoft.com/office/drawing/2014/main" id="{2664D1EC-CDC9-433A-BF4C-81D22DE3F0B9}"/>
            </a:ext>
          </a:extLst>
        </xdr:cNvPr>
        <xdr:cNvSpPr/>
      </xdr:nvSpPr>
      <xdr:spPr>
        <a:xfrm>
          <a:off x="26096" y="0"/>
          <a:ext cx="2005711" cy="7744238"/>
        </a:xfrm>
        <a:prstGeom prst="rect">
          <a:avLst/>
        </a:prstGeom>
        <a:solidFill>
          <a:srgbClr val="156103"/>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109733</xdr:colOff>
      <xdr:row>0</xdr:row>
      <xdr:rowOff>183381</xdr:rowOff>
    </xdr:from>
    <xdr:to>
      <xdr:col>1</xdr:col>
      <xdr:colOff>1338458</xdr:colOff>
      <xdr:row>3</xdr:row>
      <xdr:rowOff>54337</xdr:rowOff>
    </xdr:to>
    <xdr:sp macro="" textlink="Cal!G4">
      <xdr:nvSpPr>
        <xdr:cNvPr id="3" name="TextBox 2">
          <a:extLst>
            <a:ext uri="{FF2B5EF4-FFF2-40B4-BE49-F238E27FC236}">
              <a16:creationId xmlns:a16="http://schemas.microsoft.com/office/drawing/2014/main" id="{48D7C643-A1C7-4057-8B8F-422D7D8021E7}"/>
            </a:ext>
          </a:extLst>
        </xdr:cNvPr>
        <xdr:cNvSpPr txBox="1"/>
      </xdr:nvSpPr>
      <xdr:spPr>
        <a:xfrm>
          <a:off x="109733" y="183381"/>
          <a:ext cx="1514475" cy="44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DDE77F-E415-4B7B-816B-DE6CB9380EC1}" type="TxLink">
            <a:rPr lang="en-US"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rPr>
            <a:pPr/>
            <a:t>2,400</a:t>
          </a:fld>
          <a:endParaRPr lang="en-IN" sz="2400" b="1">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ndParaRPr>
        </a:p>
      </xdr:txBody>
    </xdr:sp>
    <xdr:clientData/>
  </xdr:twoCellAnchor>
  <xdr:oneCellAnchor>
    <xdr:from>
      <xdr:col>1</xdr:col>
      <xdr:colOff>609600</xdr:colOff>
      <xdr:row>5</xdr:row>
      <xdr:rowOff>95250</xdr:rowOff>
    </xdr:from>
    <xdr:ext cx="851481" cy="264560"/>
    <xdr:sp macro="" textlink="">
      <xdr:nvSpPr>
        <xdr:cNvPr id="4" name="TextBox 3">
          <a:extLst>
            <a:ext uri="{FF2B5EF4-FFF2-40B4-BE49-F238E27FC236}">
              <a16:creationId xmlns:a16="http://schemas.microsoft.com/office/drawing/2014/main" id="{9C8F939B-BF05-458C-A71F-D9AC36CC28D5}"/>
            </a:ext>
          </a:extLst>
        </xdr:cNvPr>
        <xdr:cNvSpPr txBox="1"/>
      </xdr:nvSpPr>
      <xdr:spPr>
        <a:xfrm>
          <a:off x="895350" y="1047750"/>
          <a:ext cx="8514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725466</xdr:colOff>
      <xdr:row>8</xdr:row>
      <xdr:rowOff>75826</xdr:rowOff>
    </xdr:from>
    <xdr:to>
      <xdr:col>3</xdr:col>
      <xdr:colOff>531965</xdr:colOff>
      <xdr:row>10</xdr:row>
      <xdr:rowOff>152026</xdr:rowOff>
    </xdr:to>
    <xdr:sp macro="" textlink="Cal!J4">
      <xdr:nvSpPr>
        <xdr:cNvPr id="5" name="TextBox 4">
          <a:extLst>
            <a:ext uri="{FF2B5EF4-FFF2-40B4-BE49-F238E27FC236}">
              <a16:creationId xmlns:a16="http://schemas.microsoft.com/office/drawing/2014/main" id="{C6080758-EA50-412B-A4E9-8C8D8EFC8C6E}"/>
            </a:ext>
          </a:extLst>
        </xdr:cNvPr>
        <xdr:cNvSpPr txBox="1"/>
      </xdr:nvSpPr>
      <xdr:spPr>
        <a:xfrm>
          <a:off x="1011216" y="1599826"/>
          <a:ext cx="151147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D6DE32-59E3-4AD5-88E5-B2D4E66B4C1F}" type="TxLink">
            <a:rPr lang="en-US"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rPr>
            <a:pPr marL="0" indent="0"/>
            <a:t>4.0</a:t>
          </a:fld>
          <a:endParaRPr lang="en-IN"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endParaRPr>
        </a:p>
      </xdr:txBody>
    </xdr:sp>
    <xdr:clientData/>
  </xdr:twoCellAnchor>
  <xdr:twoCellAnchor>
    <xdr:from>
      <xdr:col>0</xdr:col>
      <xdr:colOff>50497</xdr:colOff>
      <xdr:row>11</xdr:row>
      <xdr:rowOff>76592</xdr:rowOff>
    </xdr:from>
    <xdr:to>
      <xdr:col>1</xdr:col>
      <xdr:colOff>602947</xdr:colOff>
      <xdr:row>13</xdr:row>
      <xdr:rowOff>129436</xdr:rowOff>
    </xdr:to>
    <xdr:sp macro="" textlink="Cal!K4">
      <xdr:nvSpPr>
        <xdr:cNvPr id="6" name="TextBox 5">
          <a:extLst>
            <a:ext uri="{FF2B5EF4-FFF2-40B4-BE49-F238E27FC236}">
              <a16:creationId xmlns:a16="http://schemas.microsoft.com/office/drawing/2014/main" id="{F2D9A0AF-4D3B-4437-AD9E-5C11806571CB}"/>
            </a:ext>
          </a:extLst>
        </xdr:cNvPr>
        <xdr:cNvSpPr txBox="1"/>
      </xdr:nvSpPr>
      <xdr:spPr>
        <a:xfrm>
          <a:off x="50497" y="2172092"/>
          <a:ext cx="838200" cy="43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757101-8FD8-498D-8A35-ABBB6D1BDB08}" type="TxLink">
            <a:rPr lang="en-US"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rPr>
            <a:pPr marL="0" indent="0"/>
            <a:t>2.3</a:t>
          </a:fld>
          <a:endParaRPr lang="en-IN"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endParaRPr>
        </a:p>
      </xdr:txBody>
    </xdr:sp>
    <xdr:clientData/>
  </xdr:twoCellAnchor>
  <xdr:twoCellAnchor>
    <xdr:from>
      <xdr:col>1</xdr:col>
      <xdr:colOff>701623</xdr:colOff>
      <xdr:row>3</xdr:row>
      <xdr:rowOff>47828</xdr:rowOff>
    </xdr:from>
    <xdr:to>
      <xdr:col>3</xdr:col>
      <xdr:colOff>384297</xdr:colOff>
      <xdr:row>5</xdr:row>
      <xdr:rowOff>47827</xdr:rowOff>
    </xdr:to>
    <xdr:sp macro="" textlink="Cal!H4">
      <xdr:nvSpPr>
        <xdr:cNvPr id="7" name="TextBox 6">
          <a:extLst>
            <a:ext uri="{FF2B5EF4-FFF2-40B4-BE49-F238E27FC236}">
              <a16:creationId xmlns:a16="http://schemas.microsoft.com/office/drawing/2014/main" id="{D9D0F81F-1F44-4849-88A7-75DE72C7AEF2}"/>
            </a:ext>
          </a:extLst>
        </xdr:cNvPr>
        <xdr:cNvSpPr txBox="1"/>
      </xdr:nvSpPr>
      <xdr:spPr>
        <a:xfrm>
          <a:off x="992216" y="629014"/>
          <a:ext cx="1393945" cy="38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5B8AB1-C95A-46B2-A12B-F50C73316490}" type="TxLink">
            <a:rPr lang="en-US"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rPr>
            <a:pPr marL="0" indent="0"/>
            <a:t>11,997</a:t>
          </a:fld>
          <a:endParaRPr lang="en-IN"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endParaRPr>
        </a:p>
      </xdr:txBody>
    </xdr:sp>
    <xdr:clientData/>
  </xdr:twoCellAnchor>
  <xdr:twoCellAnchor>
    <xdr:from>
      <xdr:col>0</xdr:col>
      <xdr:colOff>0</xdr:colOff>
      <xdr:row>5</xdr:row>
      <xdr:rowOff>148125</xdr:rowOff>
    </xdr:from>
    <xdr:to>
      <xdr:col>1</xdr:col>
      <xdr:colOff>1228725</xdr:colOff>
      <xdr:row>8</xdr:row>
      <xdr:rowOff>157650</xdr:rowOff>
    </xdr:to>
    <xdr:sp macro="" textlink="Cal!I4">
      <xdr:nvSpPr>
        <xdr:cNvPr id="8" name="TextBox 7">
          <a:extLst>
            <a:ext uri="{FF2B5EF4-FFF2-40B4-BE49-F238E27FC236}">
              <a16:creationId xmlns:a16="http://schemas.microsoft.com/office/drawing/2014/main" id="{C6639674-8C2B-4001-8837-34E0884FBAF3}"/>
            </a:ext>
          </a:extLst>
        </xdr:cNvPr>
        <xdr:cNvSpPr txBox="1"/>
      </xdr:nvSpPr>
      <xdr:spPr>
        <a:xfrm>
          <a:off x="0" y="1100625"/>
          <a:ext cx="15144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343AA6-76E8-4A01-B6A3-8DBABF16470F}" type="TxLink">
            <a:rPr lang="en-US"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rPr>
            <a:pPr marL="0" indent="0"/>
            <a:t>$649.0k</a:t>
          </a:fld>
          <a:endParaRPr lang="en-IN" sz="2400" b="1" i="0" u="none" strike="noStrike">
            <a:gradFill>
              <a:gsLst>
                <a:gs pos="67000">
                  <a:schemeClr val="bg1">
                    <a:lumMod val="75000"/>
                  </a:schemeClr>
                </a:gs>
                <a:gs pos="0">
                  <a:schemeClr val="bg1"/>
                </a:gs>
                <a:gs pos="100000">
                  <a:schemeClr val="bg1">
                    <a:lumMod val="75000"/>
                  </a:schemeClr>
                </a:gs>
              </a:gsLst>
              <a:lin ang="5400000" scaled="1"/>
            </a:gradFill>
            <a:effectLst>
              <a:outerShdw blurRad="50800" dist="38100" algn="l" rotWithShape="0">
                <a:prstClr val="black">
                  <a:alpha val="40000"/>
                </a:prstClr>
              </a:outerShdw>
            </a:effectLst>
            <a:latin typeface="Aptos Display" panose="020B0004020202020204" pitchFamily="34" charset="0"/>
            <a:ea typeface="+mn-ea"/>
            <a:cs typeface="+mn-cs"/>
          </a:endParaRPr>
        </a:p>
      </xdr:txBody>
    </xdr:sp>
    <xdr:clientData/>
  </xdr:twoCellAnchor>
  <xdr:twoCellAnchor>
    <xdr:from>
      <xdr:col>0</xdr:col>
      <xdr:colOff>65240</xdr:colOff>
      <xdr:row>0</xdr:row>
      <xdr:rowOff>39144</xdr:rowOff>
    </xdr:from>
    <xdr:to>
      <xdr:col>1</xdr:col>
      <xdr:colOff>1123950</xdr:colOff>
      <xdr:row>1</xdr:row>
      <xdr:rowOff>156576</xdr:rowOff>
    </xdr:to>
    <xdr:sp macro="" textlink="">
      <xdr:nvSpPr>
        <xdr:cNvPr id="9" name="TextBox 8">
          <a:extLst>
            <a:ext uri="{FF2B5EF4-FFF2-40B4-BE49-F238E27FC236}">
              <a16:creationId xmlns:a16="http://schemas.microsoft.com/office/drawing/2014/main" id="{FF985738-52C7-4518-8FA6-81C103CA75D2}"/>
            </a:ext>
          </a:extLst>
        </xdr:cNvPr>
        <xdr:cNvSpPr txBox="1"/>
      </xdr:nvSpPr>
      <xdr:spPr>
        <a:xfrm>
          <a:off x="65240" y="39144"/>
          <a:ext cx="1344460" cy="30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a:t>
          </a:r>
          <a:r>
            <a:rPr lang="en-IN" sz="1100">
              <a:solidFill>
                <a:schemeClr val="bg1">
                  <a:lumMod val="95000"/>
                </a:schemeClr>
              </a:solidFill>
            </a:rPr>
            <a:t>Orders</a:t>
          </a:r>
        </a:p>
      </xdr:txBody>
    </xdr:sp>
    <xdr:clientData/>
  </xdr:twoCellAnchor>
  <xdr:twoCellAnchor>
    <xdr:from>
      <xdr:col>0</xdr:col>
      <xdr:colOff>13048</xdr:colOff>
      <xdr:row>4</xdr:row>
      <xdr:rowOff>156575</xdr:rowOff>
    </xdr:from>
    <xdr:to>
      <xdr:col>1</xdr:col>
      <xdr:colOff>717637</xdr:colOff>
      <xdr:row>6</xdr:row>
      <xdr:rowOff>91336</xdr:rowOff>
    </xdr:to>
    <xdr:sp macro="" textlink="">
      <xdr:nvSpPr>
        <xdr:cNvPr id="10" name="TextBox 9">
          <a:extLst>
            <a:ext uri="{FF2B5EF4-FFF2-40B4-BE49-F238E27FC236}">
              <a16:creationId xmlns:a16="http://schemas.microsoft.com/office/drawing/2014/main" id="{6612B6F6-B566-4CC2-B08B-40C8F6DDD38D}"/>
            </a:ext>
          </a:extLst>
        </xdr:cNvPr>
        <xdr:cNvSpPr txBox="1"/>
      </xdr:nvSpPr>
      <xdr:spPr>
        <a:xfrm>
          <a:off x="13048" y="918575"/>
          <a:ext cx="990339" cy="315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t>
          </a:r>
          <a:r>
            <a:rPr lang="en-US" sz="1200">
              <a:solidFill>
                <a:schemeClr val="bg1">
                  <a:lumMod val="95000"/>
                </a:schemeClr>
              </a:solidFill>
            </a:rPr>
            <a:t>Amount</a:t>
          </a:r>
          <a:endParaRPr lang="en-IN" sz="1200">
            <a:solidFill>
              <a:schemeClr val="bg1">
                <a:lumMod val="95000"/>
              </a:schemeClr>
            </a:solidFill>
          </a:endParaRPr>
        </a:p>
      </xdr:txBody>
    </xdr:sp>
    <xdr:clientData/>
  </xdr:twoCellAnchor>
  <xdr:twoCellAnchor>
    <xdr:from>
      <xdr:col>1</xdr:col>
      <xdr:colOff>652397</xdr:colOff>
      <xdr:row>7</xdr:row>
      <xdr:rowOff>104384</xdr:rowOff>
    </xdr:from>
    <xdr:to>
      <xdr:col>2</xdr:col>
      <xdr:colOff>234863</xdr:colOff>
      <xdr:row>9</xdr:row>
      <xdr:rowOff>52190</xdr:rowOff>
    </xdr:to>
    <xdr:sp macro="" textlink="">
      <xdr:nvSpPr>
        <xdr:cNvPr id="11" name="TextBox 10">
          <a:extLst>
            <a:ext uri="{FF2B5EF4-FFF2-40B4-BE49-F238E27FC236}">
              <a16:creationId xmlns:a16="http://schemas.microsoft.com/office/drawing/2014/main" id="{576C5AF6-3FA2-48C4-B07A-84849E8845FC}"/>
            </a:ext>
          </a:extLst>
        </xdr:cNvPr>
        <xdr:cNvSpPr txBox="1"/>
      </xdr:nvSpPr>
      <xdr:spPr>
        <a:xfrm>
          <a:off x="938147" y="1437884"/>
          <a:ext cx="1011216" cy="32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a:solidFill>
                <a:schemeClr val="bg1">
                  <a:lumMod val="95000"/>
                </a:schemeClr>
              </a:solidFill>
            </a:rPr>
            <a:t>Avg.Rating</a:t>
          </a:r>
          <a:endParaRPr lang="en-IN" sz="1100">
            <a:solidFill>
              <a:schemeClr val="bg1">
                <a:lumMod val="95000"/>
              </a:schemeClr>
            </a:solidFill>
          </a:endParaRPr>
        </a:p>
      </xdr:txBody>
    </xdr:sp>
    <xdr:clientData/>
  </xdr:twoCellAnchor>
  <xdr:twoCellAnchor>
    <xdr:from>
      <xdr:col>0</xdr:col>
      <xdr:colOff>0</xdr:colOff>
      <xdr:row>10</xdr:row>
      <xdr:rowOff>65240</xdr:rowOff>
    </xdr:from>
    <xdr:to>
      <xdr:col>1</xdr:col>
      <xdr:colOff>1209675</xdr:colOff>
      <xdr:row>11</xdr:row>
      <xdr:rowOff>156575</xdr:rowOff>
    </xdr:to>
    <xdr:sp macro="" textlink="">
      <xdr:nvSpPr>
        <xdr:cNvPr id="12" name="TextBox 11">
          <a:extLst>
            <a:ext uri="{FF2B5EF4-FFF2-40B4-BE49-F238E27FC236}">
              <a16:creationId xmlns:a16="http://schemas.microsoft.com/office/drawing/2014/main" id="{2CB4306A-DB5A-4BDA-9026-037FD4BE737A}"/>
            </a:ext>
          </a:extLst>
        </xdr:cNvPr>
        <xdr:cNvSpPr txBox="1"/>
      </xdr:nvSpPr>
      <xdr:spPr>
        <a:xfrm>
          <a:off x="0" y="1970240"/>
          <a:ext cx="1495425" cy="281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a:solidFill>
                <a:schemeClr val="bg1">
                  <a:lumMod val="85000"/>
                </a:schemeClr>
              </a:solidFill>
            </a:rPr>
            <a:t>Days to</a:t>
          </a:r>
          <a:r>
            <a:rPr lang="en-US" sz="1100" baseline="0">
              <a:solidFill>
                <a:schemeClr val="bg1">
                  <a:lumMod val="85000"/>
                </a:schemeClr>
              </a:solidFill>
            </a:rPr>
            <a:t> Deliver</a:t>
          </a:r>
          <a:endParaRPr lang="en-IN" sz="1100">
            <a:solidFill>
              <a:schemeClr val="bg1">
                <a:lumMod val="85000"/>
              </a:schemeClr>
            </a:solidFill>
          </a:endParaRPr>
        </a:p>
      </xdr:txBody>
    </xdr:sp>
    <xdr:clientData/>
  </xdr:twoCellAnchor>
  <xdr:twoCellAnchor editAs="oneCell">
    <xdr:from>
      <xdr:col>0</xdr:col>
      <xdr:colOff>128967</xdr:colOff>
      <xdr:row>13</xdr:row>
      <xdr:rowOff>177585</xdr:rowOff>
    </xdr:from>
    <xdr:to>
      <xdr:col>2</xdr:col>
      <xdr:colOff>248224</xdr:colOff>
      <xdr:row>22</xdr:row>
      <xdr:rowOff>80720</xdr:rowOff>
    </xdr:to>
    <mc:AlternateContent xmlns:mc="http://schemas.openxmlformats.org/markup-compatibility/2006" xmlns:a14="http://schemas.microsoft.com/office/drawing/2010/main">
      <mc:Choice Requires="a14">
        <xdr:graphicFrame macro="">
          <xdr:nvGraphicFramePr>
            <xdr:cNvPr id="13" name="Gender Value 2">
              <a:extLst>
                <a:ext uri="{FF2B5EF4-FFF2-40B4-BE49-F238E27FC236}">
                  <a16:creationId xmlns:a16="http://schemas.microsoft.com/office/drawing/2014/main" id="{0044F845-9496-4D08-90F2-111A3A58C6DF}"/>
                </a:ext>
              </a:extLst>
            </xdr:cNvPr>
            <xdr:cNvGraphicFramePr/>
          </xdr:nvGraphicFramePr>
          <xdr:xfrm>
            <a:off x="0" y="0"/>
            <a:ext cx="0" cy="0"/>
          </xdr:xfrm>
          <a:graphic>
            <a:graphicData uri="http://schemas.microsoft.com/office/drawing/2010/slicer">
              <sle:slicer xmlns:sle="http://schemas.microsoft.com/office/drawing/2010/slicer" name="Gender Value 2"/>
            </a:graphicData>
          </a:graphic>
        </xdr:graphicFrame>
      </mc:Choice>
      <mc:Fallback xmlns="">
        <xdr:sp macro="" textlink="">
          <xdr:nvSpPr>
            <xdr:cNvPr id="0" name=""/>
            <xdr:cNvSpPr>
              <a:spLocks noTextEdit="1"/>
            </xdr:cNvSpPr>
          </xdr:nvSpPr>
          <xdr:spPr>
            <a:xfrm>
              <a:off x="128967" y="3247237"/>
              <a:ext cx="1844800" cy="1777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142770</xdr:colOff>
      <xdr:row>23</xdr:row>
      <xdr:rowOff>1</xdr:rowOff>
    </xdr:from>
    <xdr:to>
      <xdr:col>2</xdr:col>
      <xdr:colOff>258505</xdr:colOff>
      <xdr:row>33</xdr:row>
      <xdr:rowOff>32288</xdr:rowOff>
    </xdr:to>
    <mc:AlternateContent xmlns:mc="http://schemas.openxmlformats.org/markup-compatibility/2006" xmlns:a14="http://schemas.microsoft.com/office/drawing/2010/main">
      <mc:Choice Requires="a14">
        <xdr:graphicFrame macro="">
          <xdr:nvGraphicFramePr>
            <xdr:cNvPr id="14" name="Order Mode 2">
              <a:extLst>
                <a:ext uri="{FF2B5EF4-FFF2-40B4-BE49-F238E27FC236}">
                  <a16:creationId xmlns:a16="http://schemas.microsoft.com/office/drawing/2014/main" id="{97FB7EA2-9F1C-43CD-AD48-508B550E8AE7}"/>
                </a:ext>
              </a:extLst>
            </xdr:cNvPr>
            <xdr:cNvGraphicFramePr/>
          </xdr:nvGraphicFramePr>
          <xdr:xfrm>
            <a:off x="0" y="0"/>
            <a:ext cx="0" cy="0"/>
          </xdr:xfrm>
          <a:graphic>
            <a:graphicData uri="http://schemas.microsoft.com/office/drawing/2010/slicer">
              <sle:slicer xmlns:sle="http://schemas.microsoft.com/office/drawing/2010/slicer" name="Order Mode 2"/>
            </a:graphicData>
          </a:graphic>
        </xdr:graphicFrame>
      </mc:Choice>
      <mc:Fallback xmlns="">
        <xdr:sp macro="" textlink="">
          <xdr:nvSpPr>
            <xdr:cNvPr id="0" name=""/>
            <xdr:cNvSpPr>
              <a:spLocks noTextEdit="1"/>
            </xdr:cNvSpPr>
          </xdr:nvSpPr>
          <xdr:spPr>
            <a:xfrm>
              <a:off x="142770" y="5148264"/>
              <a:ext cx="1841278" cy="1933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41413</xdr:colOff>
      <xdr:row>0</xdr:row>
      <xdr:rowOff>13804</xdr:rowOff>
    </xdr:from>
    <xdr:to>
      <xdr:col>25</xdr:col>
      <xdr:colOff>565978</xdr:colOff>
      <xdr:row>40</xdr:row>
      <xdr:rowOff>82825</xdr:rowOff>
    </xdr:to>
    <xdr:sp macro="" textlink="">
      <xdr:nvSpPr>
        <xdr:cNvPr id="15" name="Rectangle 14">
          <a:extLst>
            <a:ext uri="{FF2B5EF4-FFF2-40B4-BE49-F238E27FC236}">
              <a16:creationId xmlns:a16="http://schemas.microsoft.com/office/drawing/2014/main" id="{0747061B-EB1F-CE78-82A4-CF0380C7B1AC}"/>
            </a:ext>
          </a:extLst>
        </xdr:cNvPr>
        <xdr:cNvSpPr/>
      </xdr:nvSpPr>
      <xdr:spPr>
        <a:xfrm>
          <a:off x="2043043" y="13804"/>
          <a:ext cx="13887174" cy="7799456"/>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124239</xdr:colOff>
      <xdr:row>0</xdr:row>
      <xdr:rowOff>110435</xdr:rowOff>
    </xdr:from>
    <xdr:to>
      <xdr:col>10</xdr:col>
      <xdr:colOff>579783</xdr:colOff>
      <xdr:row>16</xdr:row>
      <xdr:rowOff>55217</xdr:rowOff>
    </xdr:to>
    <xdr:graphicFrame macro="">
      <xdr:nvGraphicFramePr>
        <xdr:cNvPr id="16" name="Chart 15">
          <a:extLst>
            <a:ext uri="{FF2B5EF4-FFF2-40B4-BE49-F238E27FC236}">
              <a16:creationId xmlns:a16="http://schemas.microsoft.com/office/drawing/2014/main" id="{CA2CE963-8E80-4161-BD81-E7B20E472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13805</xdr:colOff>
      <xdr:row>0</xdr:row>
      <xdr:rowOff>165651</xdr:rowOff>
    </xdr:from>
    <xdr:to>
      <xdr:col>25</xdr:col>
      <xdr:colOff>487052</xdr:colOff>
      <xdr:row>12</xdr:row>
      <xdr:rowOff>27608</xdr:rowOff>
    </xdr:to>
    <xdr:graphicFrame macro="">
      <xdr:nvGraphicFramePr>
        <xdr:cNvPr id="17" name="Chart 16">
          <a:extLst>
            <a:ext uri="{FF2B5EF4-FFF2-40B4-BE49-F238E27FC236}">
              <a16:creationId xmlns:a16="http://schemas.microsoft.com/office/drawing/2014/main" id="{CAD83ABF-ED7F-4655-9CE1-91FE28717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110434</xdr:colOff>
      <xdr:row>16</xdr:row>
      <xdr:rowOff>151848</xdr:rowOff>
    </xdr:from>
    <xdr:to>
      <xdr:col>10</xdr:col>
      <xdr:colOff>579782</xdr:colOff>
      <xdr:row>39</xdr:row>
      <xdr:rowOff>165652</xdr:rowOff>
    </xdr:to>
    <xdr:graphicFrame macro="">
      <xdr:nvGraphicFramePr>
        <xdr:cNvPr id="18" name="Chart 17">
          <a:extLst>
            <a:ext uri="{FF2B5EF4-FFF2-40B4-BE49-F238E27FC236}">
              <a16:creationId xmlns:a16="http://schemas.microsoft.com/office/drawing/2014/main" id="{AC1A2BA1-ED6D-43B6-BEEA-88BE7DF83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41413</xdr:colOff>
      <xdr:row>13</xdr:row>
      <xdr:rowOff>55218</xdr:rowOff>
    </xdr:from>
    <xdr:to>
      <xdr:col>25</xdr:col>
      <xdr:colOff>470066</xdr:colOff>
      <xdr:row>26</xdr:row>
      <xdr:rowOff>110433</xdr:rowOff>
    </xdr:to>
    <xdr:graphicFrame macro="">
      <xdr:nvGraphicFramePr>
        <xdr:cNvPr id="19" name="Chart 18">
          <a:extLst>
            <a:ext uri="{FF2B5EF4-FFF2-40B4-BE49-F238E27FC236}">
              <a16:creationId xmlns:a16="http://schemas.microsoft.com/office/drawing/2014/main" id="{78DF47E9-A139-4BEE-951F-801507D42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96630</xdr:colOff>
      <xdr:row>27</xdr:row>
      <xdr:rowOff>69021</xdr:rowOff>
    </xdr:from>
    <xdr:to>
      <xdr:col>25</xdr:col>
      <xdr:colOff>441739</xdr:colOff>
      <xdr:row>39</xdr:row>
      <xdr:rowOff>193259</xdr:rowOff>
    </xdr:to>
    <xdr:graphicFrame macro="">
      <xdr:nvGraphicFramePr>
        <xdr:cNvPr id="20" name="Chart 19">
          <a:extLst>
            <a:ext uri="{FF2B5EF4-FFF2-40B4-BE49-F238E27FC236}">
              <a16:creationId xmlns:a16="http://schemas.microsoft.com/office/drawing/2014/main" id="{CE81AC87-D8A0-4CBF-9A93-5383AFE20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538370</xdr:colOff>
      <xdr:row>27</xdr:row>
      <xdr:rowOff>96631</xdr:rowOff>
    </xdr:from>
    <xdr:to>
      <xdr:col>8</xdr:col>
      <xdr:colOff>584948</xdr:colOff>
      <xdr:row>35</xdr:row>
      <xdr:rowOff>61247</xdr:rowOff>
    </xdr:to>
    <xdr:graphicFrame macro="">
      <xdr:nvGraphicFramePr>
        <xdr:cNvPr id="21" name="Chart 20">
          <a:extLst>
            <a:ext uri="{FF2B5EF4-FFF2-40B4-BE49-F238E27FC236}">
              <a16:creationId xmlns:a16="http://schemas.microsoft.com/office/drawing/2014/main" id="{6A2114A0-E96E-4666-A96F-9039F6338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69021</xdr:colOff>
      <xdr:row>15</xdr:row>
      <xdr:rowOff>110433</xdr:rowOff>
    </xdr:from>
    <xdr:to>
      <xdr:col>17</xdr:col>
      <xdr:colOff>593587</xdr:colOff>
      <xdr:row>39</xdr:row>
      <xdr:rowOff>82825</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BF3B7EC7-CC1D-489F-A2E2-086011C65C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936546" y="2967933"/>
              <a:ext cx="4182166" cy="45443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11</xdr:col>
          <xdr:colOff>441739</xdr:colOff>
          <xdr:row>2</xdr:row>
          <xdr:rowOff>55217</xdr:rowOff>
        </xdr:from>
        <xdr:to>
          <xdr:col>17</xdr:col>
          <xdr:colOff>323957</xdr:colOff>
          <xdr:row>13</xdr:row>
          <xdr:rowOff>27609</xdr:rowOff>
        </xdr:to>
        <xdr:pic>
          <xdr:nvPicPr>
            <xdr:cNvPr id="24" name="Picture 23">
              <a:extLst>
                <a:ext uri="{FF2B5EF4-FFF2-40B4-BE49-F238E27FC236}">
                  <a16:creationId xmlns:a16="http://schemas.microsoft.com/office/drawing/2014/main" id="{8141B766-1330-D907-E240-AD4C3A55A8EA}"/>
                </a:ext>
              </a:extLst>
            </xdr:cNvPr>
            <xdr:cNvPicPr>
              <a:picLocks noChangeAspect="1" noChangeArrowheads="1"/>
              <a:extLst>
                <a:ext uri="{84589F7E-364E-4C9E-8A38-B11213B215E9}">
                  <a14:cameraTool cellRange="Sheet4!$H$4:$L$9" spid="_x0000_s25622"/>
                </a:ext>
              </a:extLst>
            </xdr:cNvPicPr>
          </xdr:nvPicPr>
          <xdr:blipFill>
            <a:blip xmlns:r="http://schemas.openxmlformats.org/officeDocument/2006/relationships" r:embed="rId8"/>
            <a:srcRect/>
            <a:stretch>
              <a:fillRect/>
            </a:stretch>
          </xdr:blipFill>
          <xdr:spPr bwMode="auto">
            <a:xfrm>
              <a:off x="7302500" y="441739"/>
              <a:ext cx="3526566" cy="209826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791060</xdr:colOff>
      <xdr:row>2</xdr:row>
      <xdr:rowOff>48432</xdr:rowOff>
    </xdr:from>
    <xdr:to>
      <xdr:col>3</xdr:col>
      <xdr:colOff>64577</xdr:colOff>
      <xdr:row>3</xdr:row>
      <xdr:rowOff>96865</xdr:rowOff>
    </xdr:to>
    <xdr:sp macro="" textlink="">
      <xdr:nvSpPr>
        <xdr:cNvPr id="26" name="TextBox 25">
          <a:extLst>
            <a:ext uri="{FF2B5EF4-FFF2-40B4-BE49-F238E27FC236}">
              <a16:creationId xmlns:a16="http://schemas.microsoft.com/office/drawing/2014/main" id="{2E9F7135-7925-450C-8744-09E6788A2688}"/>
            </a:ext>
          </a:extLst>
        </xdr:cNvPr>
        <xdr:cNvSpPr txBox="1"/>
      </xdr:nvSpPr>
      <xdr:spPr>
        <a:xfrm>
          <a:off x="1081653" y="435890"/>
          <a:ext cx="984788" cy="242161"/>
        </a:xfrm>
        <a:prstGeom prst="rect">
          <a:avLst/>
        </a:prstGeom>
        <a:solidFill>
          <a:srgbClr val="15610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solidFill>
            </a:rPr>
            <a:t>Quantity</a:t>
          </a:r>
        </a:p>
      </xdr:txBody>
    </xdr:sp>
    <xdr:clientData/>
  </xdr:twoCellAnchor>
  <xdr:twoCellAnchor>
    <xdr:from>
      <xdr:col>12</xdr:col>
      <xdr:colOff>27610</xdr:colOff>
      <xdr:row>0</xdr:row>
      <xdr:rowOff>165652</xdr:rowOff>
    </xdr:from>
    <xdr:to>
      <xdr:col>17</xdr:col>
      <xdr:colOff>455543</xdr:colOff>
      <xdr:row>2</xdr:row>
      <xdr:rowOff>96631</xdr:rowOff>
    </xdr:to>
    <xdr:sp macro="" textlink="">
      <xdr:nvSpPr>
        <xdr:cNvPr id="23" name="TextBox 22">
          <a:extLst>
            <a:ext uri="{FF2B5EF4-FFF2-40B4-BE49-F238E27FC236}">
              <a16:creationId xmlns:a16="http://schemas.microsoft.com/office/drawing/2014/main" id="{C387B929-0ABE-5F61-FEEE-E6F8F0301B50}"/>
            </a:ext>
          </a:extLst>
        </xdr:cNvPr>
        <xdr:cNvSpPr txBox="1"/>
      </xdr:nvSpPr>
      <xdr:spPr>
        <a:xfrm>
          <a:off x="7495762" y="165652"/>
          <a:ext cx="3464890" cy="317501"/>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mj-lt"/>
            </a:rPr>
            <a:t>How they</a:t>
          </a:r>
          <a:r>
            <a:rPr lang="en-IN" sz="1400" b="1" baseline="0">
              <a:latin typeface="+mj-lt"/>
            </a:rPr>
            <a:t> like to  buy?</a:t>
          </a:r>
          <a:endParaRPr lang="en-IN" sz="1400" b="1">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5.962551851851" createdVersion="8" refreshedVersion="8" minRefreshableVersion="3" recordCount="2400" xr:uid="{3B66615E-3D4F-44BE-8A40-B8FAA2ECDEC6}">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108586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5.94381423611" backgroundQuery="1" createdVersion="8" refreshedVersion="8" minRefreshableVersion="3" recordCount="0" supportSubquery="1" supportAdvancedDrill="1" xr:uid="{051D6463-D3CC-4BA4-9C10-72A03A7592AE}">
  <cacheSource type="external" connectionId="1"/>
  <cacheFields count="3">
    <cacheField name="[orders].[Gender Value].[Gender Value]" caption="Gender Value" numFmtId="0" hierarchy="14" level="1">
      <sharedItems count="4">
        <s v="Female"/>
        <s v="Male"/>
        <s v="Other"/>
        <s v="Unknown"/>
      </sharedItems>
    </cacheField>
    <cacheField name="[orders].[Order Mode].[Order Mode]" caption="Order Mode" numFmtId="0" hierarchy="8" level="1">
      <sharedItems count="5">
        <s v="App"/>
        <s v="Instagram"/>
        <s v="Partner App"/>
        <s v="Target.com"/>
        <s v="Website"/>
      </sharedItems>
    </cacheField>
    <cacheField name="[Measures].[Sum of Amount]" caption="Sum of Amount" numFmtId="0" hierarchy="17" level="32767"/>
  </cacheFields>
  <cacheHierarchies count="1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1"/>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Amount]" caption="Sum of Amount"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7B75A9-58BC-4ACA-AB1D-AAA8E3261870}" name="PivotTable1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2:J19"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5">
    <i>
      <x/>
    </i>
    <i>
      <x v="1"/>
    </i>
    <i>
      <x v="2"/>
    </i>
    <i>
      <x v="3"/>
    </i>
    <i t="grand">
      <x/>
    </i>
  </colItems>
  <dataFields count="1">
    <dataField name="Sum of Amount" fld="2" showDataAs="percentOfTotal" baseField="0" baseItem="0" numFmtId="10"/>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ecommence.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092B3D-58B0-40FA-BE4A-6BAB5F91878E}" name="Pv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2:C26"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39" format="8" series="1">
      <pivotArea type="data" outline="0" fieldPosition="0">
        <references count="1">
          <reference field="4294967294" count="1" selected="0">
            <x v="0"/>
          </reference>
        </references>
      </pivotArea>
    </chartFormat>
    <chartFormat chart="3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0F014-4C9F-447C-9FD4-9CF26A52C93F}"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E7091F-42C6-4EE4-9B8F-167A91D3B8AC}"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6:C125" firstHeaderRow="0" firstDataRow="1" firstDataCol="1"/>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1"/>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BA7EF8-B90D-4F26-9124-80069CE11B4A}" name="Pv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E41F0C-A136-4C1D-87AB-097614DC64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H3:I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showDataAs="percentOfTotal" baseField="0" baseItem="0" numFmtId="10"/>
  </dataFields>
  <formats count="1">
    <format dxfId="2">
      <pivotArea collapsedLevelsAreSubtotals="1" fieldPosition="0">
        <references count="1">
          <reference field="14" count="0"/>
        </references>
      </pivotArea>
    </format>
  </formats>
  <chartFormats count="15">
    <chartFormat chart="10" format="0" series="1">
      <pivotArea type="data" outline="0" fieldPosition="0">
        <references count="2">
          <reference field="4294967294" count="1" selected="0">
            <x v="0"/>
          </reference>
          <reference field="14" count="1" selected="0">
            <x v="0"/>
          </reference>
        </references>
      </pivotArea>
    </chartFormat>
    <chartFormat chart="10" format="1" series="1">
      <pivotArea type="data" outline="0" fieldPosition="0">
        <references count="2">
          <reference field="4294967294" count="1" selected="0">
            <x v="0"/>
          </reference>
          <reference field="14" count="1" selected="0">
            <x v="1"/>
          </reference>
        </references>
      </pivotArea>
    </chartFormat>
    <chartFormat chart="10" format="2" series="1">
      <pivotArea type="data" outline="0" fieldPosition="0">
        <references count="2">
          <reference field="4294967294" count="1" selected="0">
            <x v="0"/>
          </reference>
          <reference field="14" count="1" selected="0">
            <x v="2"/>
          </reference>
        </references>
      </pivotArea>
    </chartFormat>
    <chartFormat chart="10" format="3" series="1">
      <pivotArea type="data" outline="0" fieldPosition="0">
        <references count="2">
          <reference field="4294967294" count="1" selected="0">
            <x v="0"/>
          </reference>
          <reference field="14" count="1" selected="0">
            <x v="3"/>
          </reference>
        </references>
      </pivotArea>
    </chartFormat>
    <chartFormat chart="12" format="8" series="1">
      <pivotArea type="data" outline="0" fieldPosition="0">
        <references count="2">
          <reference field="4294967294" count="1" selected="0">
            <x v="0"/>
          </reference>
          <reference field="14" count="1" selected="0">
            <x v="0"/>
          </reference>
        </references>
      </pivotArea>
    </chartFormat>
    <chartFormat chart="12" format="9" series="1">
      <pivotArea type="data" outline="0" fieldPosition="0">
        <references count="2">
          <reference field="4294967294" count="1" selected="0">
            <x v="0"/>
          </reference>
          <reference field="14" count="1" selected="0">
            <x v="1"/>
          </reference>
        </references>
      </pivotArea>
    </chartFormat>
    <chartFormat chart="12" format="10" series="1">
      <pivotArea type="data" outline="0" fieldPosition="0">
        <references count="2">
          <reference field="4294967294" count="1" selected="0">
            <x v="0"/>
          </reference>
          <reference field="14" count="1" selected="0">
            <x v="2"/>
          </reference>
        </references>
      </pivotArea>
    </chartFormat>
    <chartFormat chart="12" format="11" series="1">
      <pivotArea type="data" outline="0" fieldPosition="0">
        <references count="2">
          <reference field="4294967294" count="1" selected="0">
            <x v="0"/>
          </reference>
          <reference field="14" count="1" selected="0">
            <x v="3"/>
          </reference>
        </references>
      </pivotArea>
    </chartFormat>
    <chartFormat chart="3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68" format="16" series="1">
      <pivotArea type="data" outline="0" fieldPosition="0">
        <references count="1">
          <reference field="4294967294" count="1" selected="0">
            <x v="0"/>
          </reference>
        </references>
      </pivotArea>
    </chartFormat>
    <chartFormat chart="68" format="17">
      <pivotArea type="data" outline="0" fieldPosition="0">
        <references count="2">
          <reference field="4294967294" count="1" selected="0">
            <x v="0"/>
          </reference>
          <reference field="14" count="1" selected="0">
            <x v="0"/>
          </reference>
        </references>
      </pivotArea>
    </chartFormat>
    <chartFormat chart="68" format="18">
      <pivotArea type="data" outline="0" fieldPosition="0">
        <references count="2">
          <reference field="4294967294" count="1" selected="0">
            <x v="0"/>
          </reference>
          <reference field="14" count="1" selected="0">
            <x v="1"/>
          </reference>
        </references>
      </pivotArea>
    </chartFormat>
    <chartFormat chart="68" format="19">
      <pivotArea type="data" outline="0" fieldPosition="0">
        <references count="2">
          <reference field="4294967294" count="1" selected="0">
            <x v="0"/>
          </reference>
          <reference field="14" count="1" selected="0">
            <x v="2"/>
          </reference>
        </references>
      </pivotArea>
    </chartFormat>
    <chartFormat chart="68" format="2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4E799A-0CB2-464D-AAC8-CE18D240CA3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4:L12" firstHeaderRow="1" firstDataRow="1" firstDataCol="1"/>
  <pivotFields count="18">
    <pivotField dataField="1" showAll="0"/>
    <pivotField showAll="0"/>
    <pivotField axis="axisRow"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defaultSubtotal="0">
      <items count="7">
        <item sd="0" x="0"/>
        <item sd="0" x="1"/>
        <item sd="0" x="2"/>
        <item sd="0" x="4"/>
        <item sd="0" x="3"/>
        <item n="6 to 10" sd="0" x="5"/>
        <item n="more than 10" sd="0"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5"/>
    <field x="2"/>
  </rowFields>
  <rowItems count="8">
    <i>
      <x/>
    </i>
    <i>
      <x v="1"/>
    </i>
    <i>
      <x v="2"/>
    </i>
    <i>
      <x v="3"/>
    </i>
    <i>
      <x v="4"/>
    </i>
    <i>
      <x v="5"/>
    </i>
    <i>
      <x v="6"/>
    </i>
    <i t="grand">
      <x/>
    </i>
  </rowItems>
  <colItems count="1">
    <i/>
  </colItems>
  <dataFields count="1">
    <dataField name="Count of TX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85962B-7754-4089-895C-2362D2F0003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G35"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 format="10" series="1">
      <pivotArea type="data" outline="0" fieldPosition="0">
        <references count="2">
          <reference field="4294967294" count="1" selected="0">
            <x v="0"/>
          </reference>
          <reference field="9" count="1" selected="0">
            <x v="0"/>
          </reference>
        </references>
      </pivotArea>
    </chartFormat>
    <chartFormat chart="2" format="11" series="1">
      <pivotArea type="data" outline="0" fieldPosition="0">
        <references count="2">
          <reference field="4294967294" count="1" selected="0">
            <x v="0"/>
          </reference>
          <reference field="9" count="1" selected="0">
            <x v="1"/>
          </reference>
        </references>
      </pivotArea>
    </chartFormat>
    <chartFormat chart="2" format="12" series="1">
      <pivotArea type="data" outline="0" fieldPosition="0">
        <references count="2">
          <reference field="4294967294" count="1" selected="0">
            <x v="0"/>
          </reference>
          <reference field="9" count="1" selected="0">
            <x v="2"/>
          </reference>
        </references>
      </pivotArea>
    </chartFormat>
    <chartFormat chart="2" format="13" series="1">
      <pivotArea type="data" outline="0" fieldPosition="0">
        <references count="2">
          <reference field="4294967294" count="1" selected="0">
            <x v="0"/>
          </reference>
          <reference field="9" count="1" selected="0">
            <x v="3"/>
          </reference>
        </references>
      </pivotArea>
    </chartFormat>
    <chartFormat chart="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D8C0C1-0915-4B43-A7BC-EB04E001294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1:I2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EE1A25-3A4D-46AC-BF5D-027A1EE632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30" format="16" series="1">
      <pivotArea type="data" outline="0" fieldPosition="0">
        <references count="2">
          <reference field="4294967294" count="1" selected="0">
            <x v="0"/>
          </reference>
          <reference field="14" count="1" selected="0">
            <x v="0"/>
          </reference>
        </references>
      </pivotArea>
    </chartFormat>
    <chartFormat chart="30" format="17" series="1">
      <pivotArea type="data" outline="0" fieldPosition="0">
        <references count="2">
          <reference field="4294967294" count="1" selected="0">
            <x v="0"/>
          </reference>
          <reference field="14" count="1" selected="0">
            <x v="1"/>
          </reference>
        </references>
      </pivotArea>
    </chartFormat>
    <chartFormat chart="30" format="18" series="1">
      <pivotArea type="data" outline="0" fieldPosition="0">
        <references count="2">
          <reference field="4294967294" count="1" selected="0">
            <x v="0"/>
          </reference>
          <reference field="14" count="1" selected="0">
            <x v="2"/>
          </reference>
        </references>
      </pivotArea>
    </chartFormat>
    <chartFormat chart="30" format="19"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C57165-6FF4-4B07-96CD-6B7FE29712B1}"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084E848-9D83-4EE0-B1E6-28102526EA41}" sourceName="Order Mode">
  <pivotTables>
    <pivotTable tabId="6" name="PvtSummary"/>
    <pivotTable tabId="6" name="Pvttable1"/>
    <pivotTable tabId="13" name="PivotTable13"/>
    <pivotTable tabId="13" name="PivotTable14"/>
    <pivotTable tabId="13" name="PivotTable6"/>
    <pivotTable tabId="14" name="PivotTable3"/>
    <pivotTable tabId="14" name="Pvttable2"/>
    <pivotTable tabId="13" name="PivotTable15"/>
    <pivotTable tabId="22" name="PivotTable19"/>
  </pivotTables>
  <data>
    <tabular pivotCacheId="11085868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71641B6-8E8A-4EDF-B477-4BF198B899FE}" sourceName="Gender Value">
  <pivotTables>
    <pivotTable tabId="6" name="PvtSummary"/>
    <pivotTable tabId="6" name="Pvttable1"/>
    <pivotTable tabId="13" name="PivotTable13"/>
    <pivotTable tabId="13" name="PivotTable15"/>
    <pivotTable tabId="13" name="PivotTable5"/>
    <pivotTable tabId="13" name="PivotTable6"/>
    <pivotTable tabId="14" name="PivotTable3"/>
    <pivotTable tabId="14" name="Pvttable2"/>
    <pivotTable tabId="22" name="PivotTable19"/>
  </pivotTables>
  <data>
    <tabular pivotCacheId="11085868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2" xr10:uid="{C059431A-4F6A-467C-93D9-BF66F0A089F1}" cache="Slicer_Order_Mode" caption="Order Mode" rowHeight="257175"/>
  <slicer name="Gender Value 2" xr10:uid="{3EBC424E-38BA-4D3D-9265-B9BBC2614B98}"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7"/>
    <tableColumn id="7" xr3:uid="{43BB5DBF-46E1-4185-80C0-4361F55A385C}" name="Ship Date" dataDxfId="6"/>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5">
      <calculatedColumnFormula>orders[[#This Row],[Ship Date]]-orders[[#This Row],[Order Date]]</calculatedColumnFormula>
    </tableColumn>
    <tableColumn id="12" xr3:uid="{B071C0DA-87A9-4516-B4D9-4F5B7D3FF44A}" name="Weeknum" dataDxfId="4">
      <calculatedColumnFormula>WEEKNUM(orders[[#This Row],[Order Date]])</calculatedColumnFormula>
    </tableColumn>
    <tableColumn id="13" xr3:uid="{B8EA9E28-7541-4E76-9935-C26438661A18}" name="Gender Value" dataDxfId="3">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106A-9BB1-4E10-8219-5BBF43B42993}">
  <dimension ref="J16"/>
  <sheetViews>
    <sheetView tabSelected="1" zoomScale="59" zoomScaleNormal="59" workbookViewId="0">
      <selection activeCell="AA8" sqref="AA8"/>
    </sheetView>
  </sheetViews>
  <sheetFormatPr defaultRowHeight="15" x14ac:dyDescent="0.25"/>
  <cols>
    <col min="1" max="1" width="4.28515625" customWidth="1"/>
    <col min="2" max="2" width="21.42578125" customWidth="1"/>
    <col min="3" max="3" width="4.140625" customWidth="1"/>
  </cols>
  <sheetData>
    <row r="16" spans="10:10" x14ac:dyDescent="0.25">
      <c r="J16" t="s">
        <v>2543</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C9" sqref="A2:O2401"/>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1338E-4339-4F67-8C4A-B8465356BEB3}">
  <dimension ref="A2:K34"/>
  <sheetViews>
    <sheetView showGridLines="0" topLeftCell="A10" zoomScale="106" zoomScaleNormal="106" workbookViewId="0">
      <selection activeCell="Q43" sqref="Q43"/>
    </sheetView>
  </sheetViews>
  <sheetFormatPr defaultRowHeight="15" x14ac:dyDescent="0.25"/>
  <cols>
    <col min="1" max="1" width="13.42578125" bestFit="1" customWidth="1"/>
    <col min="2" max="2" width="15.5703125" bestFit="1" customWidth="1"/>
    <col min="3" max="3" width="14.85546875" bestFit="1" customWidth="1"/>
    <col min="4" max="4" width="18.7109375" bestFit="1" customWidth="1"/>
    <col min="5" max="5" width="25" bestFit="1" customWidth="1"/>
    <col min="7" max="7" width="9.140625" customWidth="1"/>
    <col min="9" max="9" width="9.140625" customWidth="1"/>
    <col min="12" max="12" width="11.28515625" customWidth="1"/>
  </cols>
  <sheetData>
    <row r="2" spans="1:11" x14ac:dyDescent="0.25">
      <c r="G2" t="s">
        <v>2523</v>
      </c>
    </row>
    <row r="3" spans="1:11" x14ac:dyDescent="0.25">
      <c r="A3" t="s">
        <v>2518</v>
      </c>
      <c r="B3" t="s">
        <v>2519</v>
      </c>
      <c r="C3" t="s">
        <v>2520</v>
      </c>
      <c r="D3" t="s">
        <v>2521</v>
      </c>
      <c r="E3" t="s">
        <v>2522</v>
      </c>
      <c r="G3" t="s">
        <v>2524</v>
      </c>
      <c r="H3" t="s">
        <v>2525</v>
      </c>
      <c r="I3" t="s">
        <v>4</v>
      </c>
      <c r="J3" t="s">
        <v>2526</v>
      </c>
      <c r="K3" t="s">
        <v>2527</v>
      </c>
    </row>
    <row r="4" spans="1:11" x14ac:dyDescent="0.25">
      <c r="A4" s="16">
        <v>2400</v>
      </c>
      <c r="B4" s="16">
        <v>11997</v>
      </c>
      <c r="C4" s="16">
        <v>649019.80000000144</v>
      </c>
      <c r="D4" s="16">
        <v>3.9620833333333332</v>
      </c>
      <c r="E4" s="16">
        <v>2.3424999999999998</v>
      </c>
      <c r="G4" t="str">
        <f>TEXT(A4,"#,##")</f>
        <v>2,400</v>
      </c>
      <c r="H4" t="str">
        <f>TEXT(B4,"#,##")</f>
        <v>11,997</v>
      </c>
      <c r="I4" t="str">
        <f>TEXT(C4,"$#,##,.0k")</f>
        <v>$649.0k</v>
      </c>
      <c r="J4" t="str">
        <f>TEXT(D4,"0.0")</f>
        <v>4.0</v>
      </c>
      <c r="K4" t="str">
        <f>TEXT(E4,"0.0")</f>
        <v>2.3</v>
      </c>
    </row>
    <row r="12" spans="1:11" x14ac:dyDescent="0.25">
      <c r="A12" s="5" t="s">
        <v>2528</v>
      </c>
      <c r="B12" t="s">
        <v>2519</v>
      </c>
      <c r="C12" t="s">
        <v>2520</v>
      </c>
      <c r="E12" s="5" t="s">
        <v>2520</v>
      </c>
      <c r="F12" s="5" t="s">
        <v>2530</v>
      </c>
    </row>
    <row r="13" spans="1:11" x14ac:dyDescent="0.25">
      <c r="A13" s="6">
        <v>1</v>
      </c>
      <c r="B13" s="16">
        <v>546</v>
      </c>
      <c r="C13" s="7">
        <v>32413.300000000003</v>
      </c>
      <c r="E13" s="5" t="s">
        <v>2528</v>
      </c>
      <c r="F13" t="s">
        <v>2531</v>
      </c>
      <c r="G13" t="s">
        <v>2532</v>
      </c>
      <c r="H13" t="s">
        <v>2533</v>
      </c>
      <c r="I13" t="s">
        <v>2534</v>
      </c>
      <c r="J13" t="s">
        <v>2529</v>
      </c>
    </row>
    <row r="14" spans="1:11" x14ac:dyDescent="0.25">
      <c r="A14" s="6">
        <v>2</v>
      </c>
      <c r="B14" s="16">
        <v>905</v>
      </c>
      <c r="C14" s="7">
        <v>49562.999999999993</v>
      </c>
      <c r="E14" s="6" t="s">
        <v>18</v>
      </c>
      <c r="F14" s="8">
        <v>0.18961825201634799</v>
      </c>
      <c r="G14" s="8">
        <v>0.12262322351336549</v>
      </c>
      <c r="H14" s="8">
        <v>1.0605377524691827E-2</v>
      </c>
      <c r="I14" s="8">
        <v>3.0599220547662731E-2</v>
      </c>
      <c r="J14" s="8">
        <v>0.35344607360206787</v>
      </c>
    </row>
    <row r="15" spans="1:11" x14ac:dyDescent="0.25">
      <c r="A15" s="6">
        <v>3</v>
      </c>
      <c r="B15" s="16">
        <v>796</v>
      </c>
      <c r="C15" s="7">
        <v>41700.400000000016</v>
      </c>
      <c r="E15" s="6" t="s">
        <v>51</v>
      </c>
      <c r="F15" s="8">
        <v>5.0283982091147192E-2</v>
      </c>
      <c r="G15" s="8">
        <v>4.3060781812819776E-2</v>
      </c>
      <c r="H15" s="8">
        <v>1.5320025675641909E-3</v>
      </c>
      <c r="I15" s="8">
        <v>1.7794988689096968E-2</v>
      </c>
      <c r="J15" s="8">
        <v>0.11267175516062811</v>
      </c>
    </row>
    <row r="16" spans="1:11" x14ac:dyDescent="0.25">
      <c r="A16" s="6">
        <v>4</v>
      </c>
      <c r="B16" s="16">
        <v>913</v>
      </c>
      <c r="C16" s="7">
        <v>46782.599999999984</v>
      </c>
      <c r="E16" s="6" t="s">
        <v>70</v>
      </c>
      <c r="F16" s="8">
        <v>6.3496059750411143E-2</v>
      </c>
      <c r="G16" s="8">
        <v>4.6071629863988661E-2</v>
      </c>
      <c r="H16" s="8">
        <v>2.3062470513226202E-3</v>
      </c>
      <c r="I16" s="8">
        <v>3.8927934093844199E-3</v>
      </c>
      <c r="J16" s="8">
        <v>0.11576673007510684</v>
      </c>
    </row>
    <row r="17" spans="1:11" x14ac:dyDescent="0.25">
      <c r="A17" s="6">
        <v>5</v>
      </c>
      <c r="B17" s="16">
        <v>844</v>
      </c>
      <c r="C17" s="7">
        <v>42676.100000000006</v>
      </c>
      <c r="E17" s="6" t="s">
        <v>40</v>
      </c>
      <c r="F17" s="8">
        <v>9.6337892927149324E-2</v>
      </c>
      <c r="G17" s="8">
        <v>6.7920115842382472E-2</v>
      </c>
      <c r="H17" s="8">
        <v>5.4979832664581148E-3</v>
      </c>
      <c r="I17" s="8">
        <v>1.293304148810249E-2</v>
      </c>
      <c r="J17" s="8">
        <v>0.18268903352409238</v>
      </c>
    </row>
    <row r="18" spans="1:11" x14ac:dyDescent="0.25">
      <c r="A18" s="6">
        <v>6</v>
      </c>
      <c r="B18" s="16">
        <v>1202</v>
      </c>
      <c r="C18" s="7">
        <v>62910.7</v>
      </c>
      <c r="E18" s="6" t="s">
        <v>35</v>
      </c>
      <c r="F18" s="8">
        <v>0.12522098709469234</v>
      </c>
      <c r="G18" s="8">
        <v>9.1492740283116034E-2</v>
      </c>
      <c r="H18" s="8">
        <v>6.3042760790964951E-3</v>
      </c>
      <c r="I18" s="8">
        <v>1.2408404181197525E-2</v>
      </c>
      <c r="J18" s="8">
        <v>0.23542640763810224</v>
      </c>
    </row>
    <row r="19" spans="1:11" x14ac:dyDescent="0.25">
      <c r="A19" s="6">
        <v>7</v>
      </c>
      <c r="B19" s="16">
        <v>935</v>
      </c>
      <c r="C19" s="7">
        <v>50332.200000000004</v>
      </c>
      <c r="E19" s="6" t="s">
        <v>2529</v>
      </c>
      <c r="F19" s="8">
        <v>0.52495717387974805</v>
      </c>
      <c r="G19" s="8">
        <v>0.37116849131567226</v>
      </c>
      <c r="H19" s="8">
        <v>2.624588648913324E-2</v>
      </c>
      <c r="I19" s="8">
        <v>7.7628448315444132E-2</v>
      </c>
      <c r="J19" s="8">
        <v>1</v>
      </c>
    </row>
    <row r="20" spans="1:11" x14ac:dyDescent="0.25">
      <c r="A20" s="6">
        <v>8</v>
      </c>
      <c r="B20" s="16">
        <v>1128</v>
      </c>
      <c r="C20" s="7">
        <v>58760.599999999977</v>
      </c>
    </row>
    <row r="21" spans="1:11" x14ac:dyDescent="0.25">
      <c r="A21" s="6">
        <v>9</v>
      </c>
      <c r="B21" s="16">
        <v>1007</v>
      </c>
      <c r="C21" s="7">
        <v>52017.299999999996</v>
      </c>
    </row>
    <row r="22" spans="1:11" x14ac:dyDescent="0.25">
      <c r="A22" s="6">
        <v>10</v>
      </c>
      <c r="B22" s="16">
        <v>1128</v>
      </c>
      <c r="C22" s="7">
        <v>64915.700000000033</v>
      </c>
    </row>
    <row r="23" spans="1:11" x14ac:dyDescent="0.25">
      <c r="A23" s="6">
        <v>11</v>
      </c>
      <c r="B23" s="16">
        <v>861</v>
      </c>
      <c r="C23" s="7">
        <v>45943.80000000001</v>
      </c>
    </row>
    <row r="24" spans="1:11" x14ac:dyDescent="0.25">
      <c r="A24" s="6">
        <v>12</v>
      </c>
      <c r="B24" s="16">
        <v>944</v>
      </c>
      <c r="C24" s="7">
        <v>55077.900000000031</v>
      </c>
    </row>
    <row r="25" spans="1:11" x14ac:dyDescent="0.25">
      <c r="A25" s="6">
        <v>13</v>
      </c>
      <c r="B25" s="16">
        <v>788</v>
      </c>
      <c r="C25" s="7">
        <v>45926.19999999999</v>
      </c>
    </row>
    <row r="26" spans="1:11" x14ac:dyDescent="0.25">
      <c r="A26" s="6" t="s">
        <v>2529</v>
      </c>
      <c r="B26" s="16">
        <v>11997</v>
      </c>
      <c r="C26" s="7">
        <v>649019.79999999993</v>
      </c>
    </row>
    <row r="28" spans="1:11" x14ac:dyDescent="0.25">
      <c r="G28" s="14"/>
      <c r="H28" s="14"/>
      <c r="I28" s="14"/>
      <c r="J28" s="14"/>
      <c r="K28" s="14"/>
    </row>
    <row r="29" spans="1:11" ht="25.5" customHeight="1" x14ac:dyDescent="0.25">
      <c r="G29" s="14"/>
      <c r="H29" s="14"/>
      <c r="I29" s="14"/>
      <c r="J29" s="14"/>
      <c r="K29" s="14"/>
    </row>
    <row r="30" spans="1:11" ht="27" customHeight="1" x14ac:dyDescent="0.25">
      <c r="G30" s="14"/>
      <c r="H30" s="14"/>
      <c r="I30" s="14"/>
      <c r="J30" s="14"/>
      <c r="K30" s="14"/>
    </row>
    <row r="31" spans="1:11" ht="27.75" customHeight="1" x14ac:dyDescent="0.25">
      <c r="G31" s="14"/>
      <c r="H31" s="14"/>
      <c r="I31" s="14"/>
      <c r="J31" s="14"/>
      <c r="K31" s="14"/>
    </row>
    <row r="32" spans="1:11" ht="24" customHeight="1" x14ac:dyDescent="0.25">
      <c r="G32" s="14"/>
      <c r="H32" s="14"/>
      <c r="I32" s="14"/>
      <c r="J32" s="14"/>
      <c r="K32" s="14"/>
    </row>
    <row r="33" spans="7:11" ht="24" customHeight="1" x14ac:dyDescent="0.25">
      <c r="G33" s="14"/>
      <c r="H33" s="14"/>
      <c r="I33" s="14"/>
      <c r="J33" s="14"/>
      <c r="K33" s="14"/>
    </row>
    <row r="34" spans="7:11" ht="30" customHeight="1" x14ac:dyDescent="0.25">
      <c r="G34" s="14"/>
      <c r="H34" s="14"/>
      <c r="I34" s="14"/>
      <c r="J34" s="14"/>
      <c r="K34" s="14"/>
    </row>
  </sheetData>
  <conditionalFormatting sqref="G28:K34">
    <cfRule type="colorScale" priority="2">
      <colorScale>
        <cfvo type="min"/>
        <cfvo type="percentile" val="50"/>
        <cfvo type="max"/>
        <color rgb="FFF8696B"/>
        <color rgb="FFFCFCFF"/>
        <color rgb="FF5A8AC6"/>
      </colorScale>
    </cfRule>
  </conditionalFormatting>
  <conditionalFormatting sqref="H29:K34">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32AA-EB7F-42DC-B59B-619AC1851C21}">
  <dimension ref="A3:L125"/>
  <sheetViews>
    <sheetView workbookViewId="0">
      <selection activeCell="B6" sqref="B6"/>
    </sheetView>
  </sheetViews>
  <sheetFormatPr defaultRowHeight="15" x14ac:dyDescent="0.25"/>
  <cols>
    <col min="1" max="2" width="22" bestFit="1" customWidth="1"/>
    <col min="3" max="3" width="15.5703125" bestFit="1" customWidth="1"/>
    <col min="4" max="5" width="14.85546875" bestFit="1" customWidth="1"/>
    <col min="6" max="6" width="15.140625" customWidth="1"/>
    <col min="7" max="7" width="18.28515625" customWidth="1"/>
    <col min="8" max="8" width="13.140625" customWidth="1"/>
  </cols>
  <sheetData>
    <row r="3" spans="1:8" x14ac:dyDescent="0.25">
      <c r="A3" s="5" t="s">
        <v>10</v>
      </c>
      <c r="B3" s="5" t="s">
        <v>11</v>
      </c>
      <c r="C3" t="s">
        <v>2519</v>
      </c>
      <c r="D3" t="s">
        <v>2520</v>
      </c>
      <c r="F3" s="11" t="s">
        <v>10</v>
      </c>
      <c r="G3" s="11" t="s">
        <v>11</v>
      </c>
      <c r="H3" s="11" t="s">
        <v>2519</v>
      </c>
    </row>
    <row r="4" spans="1:8" x14ac:dyDescent="0.25">
      <c r="A4" t="s">
        <v>19</v>
      </c>
      <c r="B4" t="s">
        <v>115</v>
      </c>
      <c r="C4" s="16">
        <v>579</v>
      </c>
      <c r="D4" s="16">
        <v>31884.999999999996</v>
      </c>
      <c r="F4" s="12" t="s">
        <v>19</v>
      </c>
      <c r="G4" t="s">
        <v>115</v>
      </c>
      <c r="H4">
        <v>579</v>
      </c>
    </row>
    <row r="5" spans="1:8" x14ac:dyDescent="0.25">
      <c r="A5" t="s">
        <v>19</v>
      </c>
      <c r="B5" t="s">
        <v>20</v>
      </c>
      <c r="C5" s="16">
        <v>1</v>
      </c>
      <c r="D5" s="16">
        <v>10.9</v>
      </c>
      <c r="F5" s="12" t="s">
        <v>19</v>
      </c>
      <c r="G5" t="s">
        <v>20</v>
      </c>
      <c r="H5">
        <v>1</v>
      </c>
    </row>
    <row r="6" spans="1:8" x14ac:dyDescent="0.25">
      <c r="A6" t="s">
        <v>19</v>
      </c>
      <c r="B6" t="s">
        <v>641</v>
      </c>
      <c r="C6" s="16">
        <v>9</v>
      </c>
      <c r="D6" s="16">
        <v>800.3</v>
      </c>
      <c r="F6" s="12" t="s">
        <v>19</v>
      </c>
      <c r="G6" t="s">
        <v>641</v>
      </c>
      <c r="H6">
        <v>9</v>
      </c>
    </row>
    <row r="7" spans="1:8" x14ac:dyDescent="0.25">
      <c r="A7" t="s">
        <v>19</v>
      </c>
      <c r="B7" t="s">
        <v>967</v>
      </c>
      <c r="C7" s="16">
        <v>35</v>
      </c>
      <c r="D7" s="16">
        <v>1062.5999999999999</v>
      </c>
      <c r="F7" s="12" t="s">
        <v>19</v>
      </c>
      <c r="G7" t="s">
        <v>967</v>
      </c>
      <c r="H7">
        <v>35</v>
      </c>
    </row>
    <row r="8" spans="1:8" x14ac:dyDescent="0.25">
      <c r="A8" t="s">
        <v>19</v>
      </c>
      <c r="B8" t="s">
        <v>84</v>
      </c>
      <c r="C8" s="16">
        <v>12</v>
      </c>
      <c r="D8" s="16">
        <v>326.20000000000005</v>
      </c>
      <c r="F8" s="12" t="s">
        <v>19</v>
      </c>
      <c r="G8" t="s">
        <v>84</v>
      </c>
      <c r="H8">
        <v>12</v>
      </c>
    </row>
    <row r="9" spans="1:8" x14ac:dyDescent="0.25">
      <c r="A9" t="s">
        <v>19</v>
      </c>
      <c r="B9" t="s">
        <v>1383</v>
      </c>
      <c r="C9" s="16">
        <v>4</v>
      </c>
      <c r="D9" s="16">
        <v>167.5</v>
      </c>
      <c r="F9" s="12" t="s">
        <v>19</v>
      </c>
      <c r="G9" t="s">
        <v>1383</v>
      </c>
      <c r="H9">
        <v>4</v>
      </c>
    </row>
    <row r="10" spans="1:8" x14ac:dyDescent="0.25">
      <c r="A10" t="s">
        <v>19</v>
      </c>
      <c r="B10" t="s">
        <v>24</v>
      </c>
      <c r="C10" s="16">
        <v>341</v>
      </c>
      <c r="D10" s="16">
        <v>16168.7</v>
      </c>
      <c r="F10" s="12" t="s">
        <v>19</v>
      </c>
      <c r="G10" t="s">
        <v>24</v>
      </c>
      <c r="H10">
        <v>341</v>
      </c>
    </row>
    <row r="11" spans="1:8" x14ac:dyDescent="0.25">
      <c r="A11" t="s">
        <v>19</v>
      </c>
      <c r="B11" t="s">
        <v>2204</v>
      </c>
      <c r="C11" s="16">
        <v>13</v>
      </c>
      <c r="D11" s="16">
        <v>322.40000000000003</v>
      </c>
      <c r="F11" s="12" t="s">
        <v>19</v>
      </c>
      <c r="G11" t="s">
        <v>2204</v>
      </c>
      <c r="H11">
        <v>13</v>
      </c>
    </row>
    <row r="12" spans="1:8" x14ac:dyDescent="0.25">
      <c r="A12" t="s">
        <v>19</v>
      </c>
      <c r="B12" t="s">
        <v>437</v>
      </c>
      <c r="C12" s="16">
        <v>31</v>
      </c>
      <c r="D12" s="16">
        <v>2092.8000000000002</v>
      </c>
      <c r="F12" s="12" t="s">
        <v>19</v>
      </c>
      <c r="G12" t="s">
        <v>437</v>
      </c>
      <c r="H12">
        <v>31</v>
      </c>
    </row>
    <row r="13" spans="1:8" x14ac:dyDescent="0.25">
      <c r="A13" t="s">
        <v>19</v>
      </c>
      <c r="B13" t="s">
        <v>28</v>
      </c>
      <c r="C13" s="16">
        <v>279</v>
      </c>
      <c r="D13" s="16">
        <v>12662.500000000002</v>
      </c>
      <c r="F13" s="12" t="s">
        <v>19</v>
      </c>
      <c r="G13" t="s">
        <v>28</v>
      </c>
      <c r="H13">
        <v>279</v>
      </c>
    </row>
    <row r="14" spans="1:8" x14ac:dyDescent="0.25">
      <c r="A14" t="s">
        <v>19</v>
      </c>
      <c r="B14" t="s">
        <v>208</v>
      </c>
      <c r="C14" s="16">
        <v>9</v>
      </c>
      <c r="D14" s="16">
        <v>343.2</v>
      </c>
      <c r="F14" s="12" t="s">
        <v>19</v>
      </c>
      <c r="G14" t="s">
        <v>208</v>
      </c>
      <c r="H14">
        <v>9</v>
      </c>
    </row>
    <row r="15" spans="1:8" x14ac:dyDescent="0.25">
      <c r="A15" t="s">
        <v>19</v>
      </c>
      <c r="B15" t="s">
        <v>587</v>
      </c>
      <c r="C15" s="16">
        <v>49</v>
      </c>
      <c r="D15" s="16">
        <v>2188.2999999999997</v>
      </c>
      <c r="F15" s="12" t="s">
        <v>19</v>
      </c>
      <c r="G15" t="s">
        <v>587</v>
      </c>
      <c r="H15">
        <v>49</v>
      </c>
    </row>
    <row r="16" spans="1:8" x14ac:dyDescent="0.25">
      <c r="A16" t="s">
        <v>19</v>
      </c>
      <c r="B16" t="s">
        <v>331</v>
      </c>
      <c r="C16" s="16">
        <v>59</v>
      </c>
      <c r="D16" s="16">
        <v>2661.5999999999995</v>
      </c>
      <c r="F16" s="12" t="s">
        <v>19</v>
      </c>
      <c r="G16" t="s">
        <v>331</v>
      </c>
      <c r="H16">
        <v>59</v>
      </c>
    </row>
    <row r="17" spans="1:8" x14ac:dyDescent="0.25">
      <c r="A17" t="s">
        <v>19</v>
      </c>
      <c r="B17" t="s">
        <v>86</v>
      </c>
      <c r="C17" s="16">
        <v>8</v>
      </c>
      <c r="D17" s="16">
        <v>887.5</v>
      </c>
      <c r="F17" s="12" t="s">
        <v>19</v>
      </c>
      <c r="G17" t="s">
        <v>86</v>
      </c>
      <c r="H17">
        <v>8</v>
      </c>
    </row>
    <row r="18" spans="1:8" x14ac:dyDescent="0.25">
      <c r="A18" t="s">
        <v>19</v>
      </c>
      <c r="B18" t="s">
        <v>147</v>
      </c>
      <c r="C18" s="16">
        <v>222</v>
      </c>
      <c r="D18" s="16">
        <v>11354.199999999993</v>
      </c>
      <c r="F18" s="12" t="s">
        <v>19</v>
      </c>
      <c r="G18" t="s">
        <v>147</v>
      </c>
      <c r="H18">
        <v>222</v>
      </c>
    </row>
    <row r="19" spans="1:8" x14ac:dyDescent="0.25">
      <c r="A19" t="s">
        <v>19</v>
      </c>
      <c r="B19" t="s">
        <v>334</v>
      </c>
      <c r="C19" s="16">
        <v>36</v>
      </c>
      <c r="D19" s="16">
        <v>1558.4</v>
      </c>
      <c r="F19" s="12" t="s">
        <v>19</v>
      </c>
      <c r="G19" t="s">
        <v>334</v>
      </c>
      <c r="H19">
        <v>36</v>
      </c>
    </row>
    <row r="20" spans="1:8" x14ac:dyDescent="0.25">
      <c r="A20" t="s">
        <v>19</v>
      </c>
      <c r="B20" t="s">
        <v>949</v>
      </c>
      <c r="C20" s="16">
        <v>30</v>
      </c>
      <c r="D20" s="16">
        <v>2223.9</v>
      </c>
      <c r="F20" s="12" t="s">
        <v>19</v>
      </c>
      <c r="G20" t="s">
        <v>949</v>
      </c>
      <c r="H20">
        <v>30</v>
      </c>
    </row>
    <row r="21" spans="1:8" x14ac:dyDescent="0.25">
      <c r="A21" t="s">
        <v>19</v>
      </c>
      <c r="B21" t="s">
        <v>1426</v>
      </c>
      <c r="C21" s="16">
        <v>1</v>
      </c>
      <c r="D21" s="16">
        <v>26.2</v>
      </c>
      <c r="F21" s="12" t="s">
        <v>19</v>
      </c>
      <c r="G21" t="s">
        <v>1426</v>
      </c>
      <c r="H21">
        <v>1</v>
      </c>
    </row>
    <row r="22" spans="1:8" x14ac:dyDescent="0.25">
      <c r="A22" t="s">
        <v>19</v>
      </c>
      <c r="B22" t="s">
        <v>33</v>
      </c>
      <c r="C22" s="16">
        <v>3991</v>
      </c>
      <c r="D22" s="16">
        <v>215551.19999999981</v>
      </c>
      <c r="F22" s="12" t="s">
        <v>19</v>
      </c>
      <c r="G22" t="s">
        <v>33</v>
      </c>
      <c r="H22">
        <v>3991</v>
      </c>
    </row>
    <row r="23" spans="1:8" x14ac:dyDescent="0.25">
      <c r="A23" t="s">
        <v>19</v>
      </c>
      <c r="B23" t="s">
        <v>364</v>
      </c>
      <c r="C23" s="16">
        <v>45</v>
      </c>
      <c r="D23" s="16">
        <v>2687.3999999999996</v>
      </c>
      <c r="F23" s="12" t="s">
        <v>19</v>
      </c>
      <c r="G23" t="s">
        <v>364</v>
      </c>
      <c r="H23">
        <v>45</v>
      </c>
    </row>
    <row r="24" spans="1:8" x14ac:dyDescent="0.25">
      <c r="A24" t="s">
        <v>19</v>
      </c>
      <c r="B24" t="s">
        <v>545</v>
      </c>
      <c r="C24" s="16">
        <v>39</v>
      </c>
      <c r="D24" s="16">
        <v>1463.3000000000002</v>
      </c>
      <c r="F24" s="12" t="s">
        <v>19</v>
      </c>
      <c r="G24" t="s">
        <v>545</v>
      </c>
      <c r="H24">
        <v>39</v>
      </c>
    </row>
    <row r="25" spans="1:8" x14ac:dyDescent="0.25">
      <c r="A25" t="s">
        <v>19</v>
      </c>
      <c r="B25" t="s">
        <v>416</v>
      </c>
      <c r="C25" s="16">
        <v>6</v>
      </c>
      <c r="D25" s="16">
        <v>445.79999999999995</v>
      </c>
      <c r="F25" s="12" t="s">
        <v>19</v>
      </c>
      <c r="G25" t="s">
        <v>416</v>
      </c>
      <c r="H25">
        <v>6</v>
      </c>
    </row>
    <row r="26" spans="1:8" x14ac:dyDescent="0.25">
      <c r="A26" t="s">
        <v>19</v>
      </c>
      <c r="B26" t="s">
        <v>258</v>
      </c>
      <c r="C26" s="16">
        <v>9</v>
      </c>
      <c r="D26" s="16">
        <v>273.59999999999997</v>
      </c>
      <c r="F26" s="12" t="s">
        <v>19</v>
      </c>
      <c r="G26" t="s">
        <v>258</v>
      </c>
      <c r="H26">
        <v>9</v>
      </c>
    </row>
    <row r="27" spans="1:8" x14ac:dyDescent="0.25">
      <c r="A27" t="s">
        <v>19</v>
      </c>
      <c r="B27" t="s">
        <v>186</v>
      </c>
      <c r="C27" s="16">
        <v>60</v>
      </c>
      <c r="D27" s="16">
        <v>2690.4</v>
      </c>
      <c r="F27" s="12" t="s">
        <v>19</v>
      </c>
      <c r="G27" t="s">
        <v>186</v>
      </c>
      <c r="H27">
        <v>60</v>
      </c>
    </row>
    <row r="28" spans="1:8" x14ac:dyDescent="0.25">
      <c r="A28" t="s">
        <v>19</v>
      </c>
      <c r="B28" t="s">
        <v>392</v>
      </c>
      <c r="C28" s="16">
        <v>2</v>
      </c>
      <c r="D28" s="16">
        <v>28.4</v>
      </c>
      <c r="F28" s="12" t="s">
        <v>19</v>
      </c>
      <c r="G28" t="s">
        <v>392</v>
      </c>
      <c r="H28">
        <v>2</v>
      </c>
    </row>
    <row r="29" spans="1:8" x14ac:dyDescent="0.25">
      <c r="A29" t="s">
        <v>19</v>
      </c>
      <c r="B29" t="s">
        <v>670</v>
      </c>
      <c r="C29" s="16">
        <v>4</v>
      </c>
      <c r="D29" s="16">
        <v>204.8</v>
      </c>
      <c r="F29" s="12" t="s">
        <v>19</v>
      </c>
      <c r="G29" t="s">
        <v>670</v>
      </c>
      <c r="H29">
        <v>4</v>
      </c>
    </row>
    <row r="30" spans="1:8" x14ac:dyDescent="0.25">
      <c r="A30" t="s">
        <v>19</v>
      </c>
      <c r="B30" t="s">
        <v>802</v>
      </c>
      <c r="C30" s="16">
        <v>31</v>
      </c>
      <c r="D30" s="16">
        <v>1607.8999999999999</v>
      </c>
      <c r="F30" s="12" t="s">
        <v>19</v>
      </c>
      <c r="G30" t="s">
        <v>802</v>
      </c>
      <c r="H30">
        <v>31</v>
      </c>
    </row>
    <row r="31" spans="1:8" x14ac:dyDescent="0.25">
      <c r="A31" t="s">
        <v>19</v>
      </c>
      <c r="B31" t="s">
        <v>98</v>
      </c>
      <c r="C31" s="16">
        <v>88</v>
      </c>
      <c r="D31" s="16">
        <v>6444.9</v>
      </c>
      <c r="F31" s="12" t="s">
        <v>19</v>
      </c>
      <c r="G31" t="s">
        <v>98</v>
      </c>
      <c r="H31">
        <v>88</v>
      </c>
    </row>
    <row r="32" spans="1:8" x14ac:dyDescent="0.25">
      <c r="A32" t="s">
        <v>19</v>
      </c>
      <c r="B32" t="s">
        <v>49</v>
      </c>
      <c r="C32" s="16">
        <v>25</v>
      </c>
      <c r="D32" s="16">
        <v>1809.3</v>
      </c>
      <c r="F32" s="12" t="s">
        <v>19</v>
      </c>
      <c r="G32" t="s">
        <v>49</v>
      </c>
      <c r="H32">
        <v>25</v>
      </c>
    </row>
    <row r="33" spans="1:8" x14ac:dyDescent="0.25">
      <c r="A33" t="s">
        <v>19</v>
      </c>
      <c r="B33" t="s">
        <v>188</v>
      </c>
      <c r="C33" s="16">
        <v>178</v>
      </c>
      <c r="D33" s="16">
        <v>9680.399999999996</v>
      </c>
      <c r="F33" s="12" t="s">
        <v>19</v>
      </c>
      <c r="G33" t="s">
        <v>188</v>
      </c>
      <c r="H33">
        <v>178</v>
      </c>
    </row>
    <row r="34" spans="1:8" x14ac:dyDescent="0.25">
      <c r="A34" t="s">
        <v>19</v>
      </c>
      <c r="B34" t="s">
        <v>52</v>
      </c>
      <c r="C34" s="16">
        <v>141</v>
      </c>
      <c r="D34" s="16">
        <v>9414.7999999999993</v>
      </c>
      <c r="F34" s="12" t="s">
        <v>19</v>
      </c>
      <c r="G34" t="s">
        <v>52</v>
      </c>
      <c r="H34">
        <v>141</v>
      </c>
    </row>
    <row r="35" spans="1:8" x14ac:dyDescent="0.25">
      <c r="A35" t="s">
        <v>19</v>
      </c>
      <c r="B35" t="s">
        <v>338</v>
      </c>
      <c r="C35" s="16">
        <v>6</v>
      </c>
      <c r="D35" s="16">
        <v>206.1</v>
      </c>
      <c r="F35" s="12" t="s">
        <v>19</v>
      </c>
      <c r="G35" t="s">
        <v>338</v>
      </c>
      <c r="H35">
        <v>6</v>
      </c>
    </row>
    <row r="36" spans="1:8" x14ac:dyDescent="0.25">
      <c r="A36" t="s">
        <v>19</v>
      </c>
      <c r="B36" t="s">
        <v>158</v>
      </c>
      <c r="C36" s="16">
        <v>178</v>
      </c>
      <c r="D36" s="16">
        <v>7691.3</v>
      </c>
      <c r="F36" s="12" t="s">
        <v>19</v>
      </c>
      <c r="G36" t="s">
        <v>158</v>
      </c>
      <c r="H36">
        <v>178</v>
      </c>
    </row>
    <row r="37" spans="1:8" x14ac:dyDescent="0.25">
      <c r="A37" t="s">
        <v>19</v>
      </c>
      <c r="B37" t="s">
        <v>55</v>
      </c>
      <c r="C37" s="16">
        <v>699</v>
      </c>
      <c r="D37" s="16">
        <v>37784.900000000016</v>
      </c>
      <c r="F37" s="12" t="s">
        <v>19</v>
      </c>
      <c r="G37" t="s">
        <v>55</v>
      </c>
      <c r="H37">
        <v>699</v>
      </c>
    </row>
    <row r="38" spans="1:8" x14ac:dyDescent="0.25">
      <c r="A38" t="s">
        <v>19</v>
      </c>
      <c r="B38" t="s">
        <v>342</v>
      </c>
      <c r="C38" s="16">
        <v>23</v>
      </c>
      <c r="D38" s="16">
        <v>1129.7</v>
      </c>
      <c r="F38" s="12" t="s">
        <v>19</v>
      </c>
      <c r="G38" t="s">
        <v>342</v>
      </c>
      <c r="H38">
        <v>23</v>
      </c>
    </row>
    <row r="39" spans="1:8" x14ac:dyDescent="0.25">
      <c r="A39" t="s">
        <v>19</v>
      </c>
      <c r="B39" t="s">
        <v>59</v>
      </c>
      <c r="C39" s="16">
        <v>356</v>
      </c>
      <c r="D39" s="16">
        <v>20988.9</v>
      </c>
      <c r="F39" s="12" t="s">
        <v>19</v>
      </c>
      <c r="G39" t="s">
        <v>59</v>
      </c>
      <c r="H39">
        <v>356</v>
      </c>
    </row>
    <row r="40" spans="1:8" x14ac:dyDescent="0.25">
      <c r="A40" t="s">
        <v>19</v>
      </c>
      <c r="B40" t="s">
        <v>62</v>
      </c>
      <c r="C40" s="16">
        <v>1768</v>
      </c>
      <c r="D40" s="16">
        <v>98367.099999999977</v>
      </c>
      <c r="F40" s="12" t="s">
        <v>19</v>
      </c>
      <c r="G40" t="s">
        <v>62</v>
      </c>
      <c r="H40">
        <v>1768</v>
      </c>
    </row>
    <row r="41" spans="1:8" x14ac:dyDescent="0.25">
      <c r="A41" t="s">
        <v>19</v>
      </c>
      <c r="B41" t="s">
        <v>103</v>
      </c>
      <c r="C41" s="16">
        <v>307</v>
      </c>
      <c r="D41" s="16">
        <v>21911.9</v>
      </c>
      <c r="F41" s="12" t="s">
        <v>19</v>
      </c>
      <c r="G41" t="s">
        <v>103</v>
      </c>
      <c r="H41">
        <v>307</v>
      </c>
    </row>
    <row r="42" spans="1:8" x14ac:dyDescent="0.25">
      <c r="A42" t="s">
        <v>19</v>
      </c>
      <c r="B42" t="s">
        <v>201</v>
      </c>
      <c r="C42" s="16">
        <v>117</v>
      </c>
      <c r="D42" s="16">
        <v>5441.2</v>
      </c>
      <c r="F42" s="12" t="s">
        <v>19</v>
      </c>
      <c r="G42" t="s">
        <v>201</v>
      </c>
      <c r="H42">
        <v>117</v>
      </c>
    </row>
    <row r="43" spans="1:8" x14ac:dyDescent="0.25">
      <c r="A43" t="s">
        <v>19</v>
      </c>
      <c r="B43" t="s">
        <v>429</v>
      </c>
      <c r="C43" s="16">
        <v>13</v>
      </c>
      <c r="D43" s="16">
        <v>392.8</v>
      </c>
      <c r="F43" s="12" t="s">
        <v>19</v>
      </c>
      <c r="G43" t="s">
        <v>429</v>
      </c>
      <c r="H43">
        <v>13</v>
      </c>
    </row>
    <row r="44" spans="1:8" x14ac:dyDescent="0.25">
      <c r="A44" t="s">
        <v>19</v>
      </c>
      <c r="B44" t="s">
        <v>72</v>
      </c>
      <c r="C44" s="16">
        <v>364</v>
      </c>
      <c r="D44" s="16">
        <v>16172.000000000005</v>
      </c>
      <c r="F44" s="12" t="s">
        <v>19</v>
      </c>
      <c r="G44" t="s">
        <v>72</v>
      </c>
      <c r="H44">
        <v>364</v>
      </c>
    </row>
    <row r="45" spans="1:8" x14ac:dyDescent="0.25">
      <c r="A45" t="s">
        <v>19</v>
      </c>
      <c r="B45" t="s">
        <v>74</v>
      </c>
      <c r="C45" s="16">
        <v>95</v>
      </c>
      <c r="D45" s="16">
        <v>4334.9999999999991</v>
      </c>
      <c r="F45" s="12" t="s">
        <v>19</v>
      </c>
      <c r="G45" t="s">
        <v>74</v>
      </c>
      <c r="H45">
        <v>95</v>
      </c>
    </row>
    <row r="46" spans="1:8" x14ac:dyDescent="0.25">
      <c r="A46" t="s">
        <v>19</v>
      </c>
      <c r="B46" t="s">
        <v>77</v>
      </c>
      <c r="C46" s="16">
        <v>737</v>
      </c>
      <c r="D46" s="16">
        <v>37449.000000000007</v>
      </c>
      <c r="F46" s="12" t="s">
        <v>19</v>
      </c>
      <c r="G46" t="s">
        <v>77</v>
      </c>
      <c r="H46">
        <v>737</v>
      </c>
    </row>
    <row r="47" spans="1:8" x14ac:dyDescent="0.25">
      <c r="A47" t="s">
        <v>19</v>
      </c>
      <c r="B47" t="s">
        <v>309</v>
      </c>
      <c r="C47" s="16">
        <v>39</v>
      </c>
      <c r="D47" s="16">
        <v>2447.5</v>
      </c>
      <c r="F47" s="12" t="s">
        <v>19</v>
      </c>
      <c r="G47" t="s">
        <v>309</v>
      </c>
      <c r="H47">
        <v>39</v>
      </c>
    </row>
    <row r="48" spans="1:8" x14ac:dyDescent="0.25">
      <c r="A48" t="s">
        <v>19</v>
      </c>
      <c r="B48" t="s">
        <v>1116</v>
      </c>
      <c r="C48" s="16">
        <v>56</v>
      </c>
      <c r="D48" s="16">
        <v>3391.1</v>
      </c>
      <c r="F48" s="12" t="s">
        <v>19</v>
      </c>
      <c r="G48" t="s">
        <v>1116</v>
      </c>
      <c r="H48">
        <v>56</v>
      </c>
    </row>
    <row r="49" spans="1:8" x14ac:dyDescent="0.25">
      <c r="A49" t="s">
        <v>19</v>
      </c>
      <c r="B49" t="s">
        <v>700</v>
      </c>
      <c r="C49" s="16">
        <v>2</v>
      </c>
      <c r="D49" s="16">
        <v>30.8</v>
      </c>
      <c r="F49" s="12" t="s">
        <v>19</v>
      </c>
      <c r="G49" t="s">
        <v>700</v>
      </c>
      <c r="H49">
        <v>2</v>
      </c>
    </row>
    <row r="50" spans="1:8" x14ac:dyDescent="0.25">
      <c r="A50" t="s">
        <v>19</v>
      </c>
      <c r="B50" t="s">
        <v>268</v>
      </c>
      <c r="C50" s="16">
        <v>8</v>
      </c>
      <c r="D50" s="16">
        <v>332.3</v>
      </c>
      <c r="F50" s="12" t="s">
        <v>19</v>
      </c>
      <c r="G50" t="s">
        <v>268</v>
      </c>
      <c r="H50">
        <v>8</v>
      </c>
    </row>
    <row r="51" spans="1:8" x14ac:dyDescent="0.25">
      <c r="A51" t="s">
        <v>19</v>
      </c>
      <c r="B51" t="s">
        <v>377</v>
      </c>
      <c r="C51" s="16">
        <v>52</v>
      </c>
      <c r="D51" s="16">
        <v>3175.9999999999995</v>
      </c>
      <c r="F51" s="12" t="s">
        <v>19</v>
      </c>
      <c r="G51" t="s">
        <v>377</v>
      </c>
      <c r="H51">
        <v>52</v>
      </c>
    </row>
    <row r="52" spans="1:8" x14ac:dyDescent="0.25">
      <c r="A52" t="s">
        <v>19</v>
      </c>
      <c r="B52" t="s">
        <v>108</v>
      </c>
      <c r="C52" s="16">
        <v>295</v>
      </c>
      <c r="D52" s="16">
        <v>20939.600000000002</v>
      </c>
      <c r="F52" s="12" t="s">
        <v>19</v>
      </c>
      <c r="G52" t="s">
        <v>108</v>
      </c>
      <c r="H52">
        <v>295</v>
      </c>
    </row>
    <row r="53" spans="1:8" x14ac:dyDescent="0.25">
      <c r="A53" t="s">
        <v>19</v>
      </c>
      <c r="B53" t="s">
        <v>110</v>
      </c>
      <c r="C53" s="16">
        <v>195</v>
      </c>
      <c r="D53" s="16">
        <v>10185.899999999996</v>
      </c>
      <c r="F53" s="12" t="s">
        <v>19</v>
      </c>
      <c r="G53" t="s">
        <v>110</v>
      </c>
      <c r="H53">
        <v>195</v>
      </c>
    </row>
    <row r="54" spans="1:8" x14ac:dyDescent="0.25">
      <c r="A54" t="s">
        <v>19</v>
      </c>
      <c r="B54" t="s">
        <v>292</v>
      </c>
      <c r="C54" s="16">
        <v>20</v>
      </c>
      <c r="D54" s="16">
        <v>958.7</v>
      </c>
      <c r="F54" s="12" t="s">
        <v>19</v>
      </c>
      <c r="G54" t="s">
        <v>292</v>
      </c>
      <c r="H54">
        <v>20</v>
      </c>
    </row>
    <row r="55" spans="1:8" x14ac:dyDescent="0.25">
      <c r="A55" t="s">
        <v>19</v>
      </c>
      <c r="B55" t="s">
        <v>79</v>
      </c>
      <c r="C55" s="16">
        <v>6</v>
      </c>
      <c r="D55" s="16">
        <v>323</v>
      </c>
      <c r="F55" s="12" t="s">
        <v>19</v>
      </c>
      <c r="G55" t="s">
        <v>79</v>
      </c>
      <c r="H55">
        <v>6</v>
      </c>
    </row>
    <row r="56" spans="1:8" x14ac:dyDescent="0.25">
      <c r="A56" t="s">
        <v>19</v>
      </c>
      <c r="B56" t="s">
        <v>608</v>
      </c>
      <c r="C56" s="16">
        <v>5</v>
      </c>
      <c r="D56" s="16">
        <v>167.70000000000002</v>
      </c>
      <c r="F56" s="12" t="s">
        <v>19</v>
      </c>
      <c r="G56" t="s">
        <v>608</v>
      </c>
      <c r="H56">
        <v>5</v>
      </c>
    </row>
    <row r="57" spans="1:8" x14ac:dyDescent="0.25">
      <c r="A57" t="s">
        <v>19</v>
      </c>
      <c r="B57" t="s">
        <v>113</v>
      </c>
      <c r="C57" s="16">
        <v>94</v>
      </c>
      <c r="D57" s="16">
        <v>3978.5</v>
      </c>
      <c r="F57" s="12" t="s">
        <v>19</v>
      </c>
      <c r="G57" t="s">
        <v>113</v>
      </c>
      <c r="H57">
        <v>94</v>
      </c>
    </row>
    <row r="58" spans="1:8" x14ac:dyDescent="0.25">
      <c r="A58" t="s">
        <v>19</v>
      </c>
      <c r="B58" t="s">
        <v>997</v>
      </c>
      <c r="C58" s="16">
        <v>28</v>
      </c>
      <c r="D58" s="16">
        <v>1405</v>
      </c>
      <c r="F58" s="12" t="s">
        <v>19</v>
      </c>
      <c r="G58" t="s">
        <v>997</v>
      </c>
      <c r="H58">
        <v>28</v>
      </c>
    </row>
    <row r="59" spans="1:8" x14ac:dyDescent="0.25">
      <c r="A59" t="s">
        <v>19</v>
      </c>
      <c r="B59" t="s">
        <v>82</v>
      </c>
      <c r="C59" s="16">
        <v>179</v>
      </c>
      <c r="D59" s="16">
        <v>9869.0999999999985</v>
      </c>
      <c r="F59" s="12" t="s">
        <v>19</v>
      </c>
      <c r="G59" t="s">
        <v>82</v>
      </c>
      <c r="H59">
        <v>179</v>
      </c>
    </row>
    <row r="60" spans="1:8" x14ac:dyDescent="0.25">
      <c r="A60" t="s">
        <v>19</v>
      </c>
      <c r="B60" t="s">
        <v>243</v>
      </c>
      <c r="C60" s="16">
        <v>15</v>
      </c>
      <c r="D60" s="16">
        <v>615.29999999999995</v>
      </c>
      <c r="F60" s="12" t="s">
        <v>19</v>
      </c>
      <c r="G60" t="s">
        <v>243</v>
      </c>
      <c r="H60">
        <v>15</v>
      </c>
    </row>
    <row r="61" spans="1:8" x14ac:dyDescent="0.25">
      <c r="A61" t="s">
        <v>19</v>
      </c>
      <c r="B61" t="s">
        <v>1911</v>
      </c>
      <c r="C61" s="16">
        <v>3</v>
      </c>
      <c r="D61" s="16">
        <v>285</v>
      </c>
      <c r="F61" s="13" t="s">
        <v>19</v>
      </c>
      <c r="G61" t="s">
        <v>1911</v>
      </c>
      <c r="H61">
        <v>3</v>
      </c>
    </row>
    <row r="62" spans="1:8" x14ac:dyDescent="0.25">
      <c r="A62" t="s">
        <v>2529</v>
      </c>
      <c r="C62" s="16">
        <v>11997</v>
      </c>
      <c r="D62" s="16">
        <v>649019.79999999981</v>
      </c>
      <c r="F62" s="10"/>
      <c r="G62" s="10"/>
      <c r="H62" s="10"/>
    </row>
    <row r="66" spans="1:12" x14ac:dyDescent="0.25">
      <c r="A66" s="5" t="s">
        <v>11</v>
      </c>
      <c r="B66" t="s">
        <v>2519</v>
      </c>
      <c r="C66" t="s">
        <v>2520</v>
      </c>
      <c r="E66" s="11" t="s">
        <v>10</v>
      </c>
      <c r="F66" s="11" t="s">
        <v>11</v>
      </c>
      <c r="G66" s="11" t="s">
        <v>2519</v>
      </c>
      <c r="J66" s="11"/>
      <c r="K66" s="11"/>
      <c r="L66" s="11"/>
    </row>
    <row r="67" spans="1:12" x14ac:dyDescent="0.25">
      <c r="A67" t="s">
        <v>115</v>
      </c>
      <c r="B67" s="16">
        <v>579</v>
      </c>
      <c r="C67" s="16">
        <v>31884.999999999996</v>
      </c>
      <c r="E67" s="12" t="s">
        <v>19</v>
      </c>
      <c r="F67" t="s">
        <v>115</v>
      </c>
      <c r="G67">
        <v>579</v>
      </c>
      <c r="J67" s="12"/>
    </row>
    <row r="68" spans="1:12" x14ac:dyDescent="0.25">
      <c r="A68" t="s">
        <v>20</v>
      </c>
      <c r="B68" s="16">
        <v>1</v>
      </c>
      <c r="C68" s="16">
        <v>10.9</v>
      </c>
      <c r="E68" s="12" t="s">
        <v>19</v>
      </c>
      <c r="F68" t="s">
        <v>20</v>
      </c>
      <c r="G68">
        <v>1</v>
      </c>
      <c r="J68" s="12"/>
    </row>
    <row r="69" spans="1:12" x14ac:dyDescent="0.25">
      <c r="A69" t="s">
        <v>641</v>
      </c>
      <c r="B69" s="16">
        <v>9</v>
      </c>
      <c r="C69" s="16">
        <v>800.3</v>
      </c>
      <c r="E69" s="12" t="s">
        <v>19</v>
      </c>
      <c r="F69" t="s">
        <v>641</v>
      </c>
      <c r="G69">
        <v>9</v>
      </c>
      <c r="J69" s="12"/>
    </row>
    <row r="70" spans="1:12" x14ac:dyDescent="0.25">
      <c r="A70" t="s">
        <v>967</v>
      </c>
      <c r="B70" s="16">
        <v>35</v>
      </c>
      <c r="C70" s="16">
        <v>1062.5999999999999</v>
      </c>
      <c r="E70" s="12" t="s">
        <v>19</v>
      </c>
      <c r="F70" t="s">
        <v>967</v>
      </c>
      <c r="G70">
        <v>35</v>
      </c>
      <c r="J70" s="12"/>
    </row>
    <row r="71" spans="1:12" x14ac:dyDescent="0.25">
      <c r="A71" t="s">
        <v>84</v>
      </c>
      <c r="B71" s="16">
        <v>12</v>
      </c>
      <c r="C71" s="16">
        <v>326.20000000000005</v>
      </c>
      <c r="E71" s="12" t="s">
        <v>19</v>
      </c>
      <c r="F71" t="s">
        <v>84</v>
      </c>
      <c r="G71">
        <v>12</v>
      </c>
      <c r="J71" s="12"/>
    </row>
    <row r="72" spans="1:12" x14ac:dyDescent="0.25">
      <c r="A72" t="s">
        <v>1383</v>
      </c>
      <c r="B72" s="16">
        <v>4</v>
      </c>
      <c r="C72" s="16">
        <v>167.5</v>
      </c>
      <c r="E72" s="12" t="s">
        <v>19</v>
      </c>
      <c r="F72" t="s">
        <v>1383</v>
      </c>
      <c r="G72">
        <v>4</v>
      </c>
      <c r="J72" s="12"/>
    </row>
    <row r="73" spans="1:12" x14ac:dyDescent="0.25">
      <c r="A73" t="s">
        <v>24</v>
      </c>
      <c r="B73" s="16">
        <v>341</v>
      </c>
      <c r="C73" s="16">
        <v>16168.7</v>
      </c>
      <c r="E73" s="12" t="s">
        <v>19</v>
      </c>
      <c r="F73" t="s">
        <v>24</v>
      </c>
      <c r="G73">
        <v>341</v>
      </c>
      <c r="J73" s="12"/>
    </row>
    <row r="74" spans="1:12" x14ac:dyDescent="0.25">
      <c r="A74" t="s">
        <v>2204</v>
      </c>
      <c r="B74" s="16">
        <v>13</v>
      </c>
      <c r="C74" s="16">
        <v>322.40000000000003</v>
      </c>
      <c r="E74" s="12" t="s">
        <v>19</v>
      </c>
      <c r="F74" t="s">
        <v>2204</v>
      </c>
      <c r="G74">
        <v>13</v>
      </c>
      <c r="J74" s="12"/>
    </row>
    <row r="75" spans="1:12" x14ac:dyDescent="0.25">
      <c r="A75" t="s">
        <v>437</v>
      </c>
      <c r="B75" s="16">
        <v>31</v>
      </c>
      <c r="C75" s="16">
        <v>2092.8000000000002</v>
      </c>
      <c r="E75" s="12" t="s">
        <v>19</v>
      </c>
      <c r="F75" t="s">
        <v>437</v>
      </c>
      <c r="G75">
        <v>31</v>
      </c>
      <c r="J75" s="12"/>
    </row>
    <row r="76" spans="1:12" x14ac:dyDescent="0.25">
      <c r="A76" t="s">
        <v>28</v>
      </c>
      <c r="B76" s="16">
        <v>279</v>
      </c>
      <c r="C76" s="16">
        <v>12662.500000000002</v>
      </c>
      <c r="E76" s="12" t="s">
        <v>19</v>
      </c>
      <c r="F76" t="s">
        <v>28</v>
      </c>
      <c r="G76">
        <v>279</v>
      </c>
      <c r="J76" s="12"/>
    </row>
    <row r="77" spans="1:12" x14ac:dyDescent="0.25">
      <c r="A77" t="s">
        <v>208</v>
      </c>
      <c r="B77" s="16">
        <v>9</v>
      </c>
      <c r="C77" s="16">
        <v>343.2</v>
      </c>
      <c r="E77" s="12" t="s">
        <v>19</v>
      </c>
      <c r="F77" t="s">
        <v>208</v>
      </c>
      <c r="G77">
        <v>9</v>
      </c>
      <c r="J77" s="12"/>
    </row>
    <row r="78" spans="1:12" x14ac:dyDescent="0.25">
      <c r="A78" t="s">
        <v>587</v>
      </c>
      <c r="B78" s="16">
        <v>49</v>
      </c>
      <c r="C78" s="16">
        <v>2188.2999999999997</v>
      </c>
      <c r="E78" s="12" t="s">
        <v>19</v>
      </c>
      <c r="F78" t="s">
        <v>587</v>
      </c>
      <c r="G78">
        <v>49</v>
      </c>
      <c r="J78" s="12"/>
    </row>
    <row r="79" spans="1:12" x14ac:dyDescent="0.25">
      <c r="A79" t="s">
        <v>331</v>
      </c>
      <c r="B79" s="16">
        <v>59</v>
      </c>
      <c r="C79" s="16">
        <v>2661.5999999999995</v>
      </c>
      <c r="E79" s="12" t="s">
        <v>19</v>
      </c>
      <c r="F79" t="s">
        <v>331</v>
      </c>
      <c r="G79">
        <v>59</v>
      </c>
      <c r="J79" s="12"/>
    </row>
    <row r="80" spans="1:12" x14ac:dyDescent="0.25">
      <c r="A80" t="s">
        <v>86</v>
      </c>
      <c r="B80" s="16">
        <v>8</v>
      </c>
      <c r="C80" s="16">
        <v>887.5</v>
      </c>
      <c r="E80" s="12" t="s">
        <v>19</v>
      </c>
      <c r="F80" t="s">
        <v>86</v>
      </c>
      <c r="G80">
        <v>8</v>
      </c>
      <c r="J80" s="12"/>
    </row>
    <row r="81" spans="1:10" x14ac:dyDescent="0.25">
      <c r="A81" t="s">
        <v>147</v>
      </c>
      <c r="B81" s="16">
        <v>222</v>
      </c>
      <c r="C81" s="16">
        <v>11354.199999999993</v>
      </c>
      <c r="E81" s="12" t="s">
        <v>19</v>
      </c>
      <c r="F81" t="s">
        <v>147</v>
      </c>
      <c r="G81">
        <v>222</v>
      </c>
      <c r="J81" s="12"/>
    </row>
    <row r="82" spans="1:10" x14ac:dyDescent="0.25">
      <c r="A82" t="s">
        <v>334</v>
      </c>
      <c r="B82" s="16">
        <v>36</v>
      </c>
      <c r="C82" s="16">
        <v>1558.4</v>
      </c>
      <c r="E82" s="12" t="s">
        <v>19</v>
      </c>
      <c r="F82" t="s">
        <v>334</v>
      </c>
      <c r="G82">
        <v>36</v>
      </c>
      <c r="J82" s="12"/>
    </row>
    <row r="83" spans="1:10" x14ac:dyDescent="0.25">
      <c r="A83" t="s">
        <v>949</v>
      </c>
      <c r="B83" s="16">
        <v>30</v>
      </c>
      <c r="C83" s="16">
        <v>2223.9</v>
      </c>
      <c r="E83" s="12" t="s">
        <v>19</v>
      </c>
      <c r="F83" t="s">
        <v>949</v>
      </c>
      <c r="G83">
        <v>30</v>
      </c>
      <c r="J83" s="12"/>
    </row>
    <row r="84" spans="1:10" x14ac:dyDescent="0.25">
      <c r="A84" t="s">
        <v>1426</v>
      </c>
      <c r="B84" s="16">
        <v>1</v>
      </c>
      <c r="C84" s="16">
        <v>26.2</v>
      </c>
      <c r="E84" s="12" t="s">
        <v>19</v>
      </c>
      <c r="F84" t="s">
        <v>1426</v>
      </c>
      <c r="G84">
        <v>1</v>
      </c>
      <c r="J84" s="12"/>
    </row>
    <row r="85" spans="1:10" x14ac:dyDescent="0.25">
      <c r="A85" t="s">
        <v>33</v>
      </c>
      <c r="B85" s="16">
        <v>3991</v>
      </c>
      <c r="C85" s="16">
        <v>215551.19999999981</v>
      </c>
      <c r="E85" s="12" t="s">
        <v>19</v>
      </c>
      <c r="F85" t="s">
        <v>33</v>
      </c>
      <c r="G85">
        <v>3991</v>
      </c>
      <c r="J85" s="12"/>
    </row>
    <row r="86" spans="1:10" x14ac:dyDescent="0.25">
      <c r="A86" t="s">
        <v>364</v>
      </c>
      <c r="B86" s="16">
        <v>45</v>
      </c>
      <c r="C86" s="16">
        <v>2687.3999999999996</v>
      </c>
      <c r="E86" s="12" t="s">
        <v>19</v>
      </c>
      <c r="F86" t="s">
        <v>364</v>
      </c>
      <c r="G86">
        <v>45</v>
      </c>
      <c r="J86" s="12"/>
    </row>
    <row r="87" spans="1:10" x14ac:dyDescent="0.25">
      <c r="A87" t="s">
        <v>545</v>
      </c>
      <c r="B87" s="16">
        <v>39</v>
      </c>
      <c r="C87" s="16">
        <v>1463.3000000000002</v>
      </c>
      <c r="E87" s="12" t="s">
        <v>19</v>
      </c>
      <c r="F87" t="s">
        <v>545</v>
      </c>
      <c r="G87">
        <v>39</v>
      </c>
      <c r="J87" s="12"/>
    </row>
    <row r="88" spans="1:10" x14ac:dyDescent="0.25">
      <c r="A88" t="s">
        <v>416</v>
      </c>
      <c r="B88" s="16">
        <v>6</v>
      </c>
      <c r="C88" s="16">
        <v>445.79999999999995</v>
      </c>
      <c r="E88" s="12" t="s">
        <v>19</v>
      </c>
      <c r="F88" t="s">
        <v>416</v>
      </c>
      <c r="G88">
        <v>6</v>
      </c>
      <c r="J88" s="12"/>
    </row>
    <row r="89" spans="1:10" x14ac:dyDescent="0.25">
      <c r="A89" t="s">
        <v>258</v>
      </c>
      <c r="B89" s="16">
        <v>9</v>
      </c>
      <c r="C89" s="16">
        <v>273.59999999999997</v>
      </c>
      <c r="E89" s="12" t="s">
        <v>19</v>
      </c>
      <c r="F89" t="s">
        <v>258</v>
      </c>
      <c r="G89">
        <v>9</v>
      </c>
      <c r="J89" s="12"/>
    </row>
    <row r="90" spans="1:10" x14ac:dyDescent="0.25">
      <c r="A90" t="s">
        <v>186</v>
      </c>
      <c r="B90" s="16">
        <v>60</v>
      </c>
      <c r="C90" s="16">
        <v>2690.4</v>
      </c>
      <c r="E90" s="12" t="s">
        <v>19</v>
      </c>
      <c r="F90" t="s">
        <v>186</v>
      </c>
      <c r="G90">
        <v>60</v>
      </c>
      <c r="J90" s="12"/>
    </row>
    <row r="91" spans="1:10" x14ac:dyDescent="0.25">
      <c r="A91" t="s">
        <v>392</v>
      </c>
      <c r="B91" s="16">
        <v>2</v>
      </c>
      <c r="C91" s="16">
        <v>28.4</v>
      </c>
      <c r="E91" s="12" t="s">
        <v>19</v>
      </c>
      <c r="F91" t="s">
        <v>392</v>
      </c>
      <c r="G91">
        <v>2</v>
      </c>
      <c r="J91" s="12"/>
    </row>
    <row r="92" spans="1:10" x14ac:dyDescent="0.25">
      <c r="A92" t="s">
        <v>670</v>
      </c>
      <c r="B92" s="16">
        <v>4</v>
      </c>
      <c r="C92" s="16">
        <v>204.8</v>
      </c>
      <c r="E92" s="12" t="s">
        <v>19</v>
      </c>
      <c r="F92" t="s">
        <v>670</v>
      </c>
      <c r="G92">
        <v>4</v>
      </c>
      <c r="J92" s="12"/>
    </row>
    <row r="93" spans="1:10" x14ac:dyDescent="0.25">
      <c r="A93" t="s">
        <v>802</v>
      </c>
      <c r="B93" s="16">
        <v>31</v>
      </c>
      <c r="C93" s="16">
        <v>1607.8999999999999</v>
      </c>
      <c r="E93" s="12" t="s">
        <v>19</v>
      </c>
      <c r="F93" t="s">
        <v>802</v>
      </c>
      <c r="G93">
        <v>31</v>
      </c>
      <c r="J93" s="12"/>
    </row>
    <row r="94" spans="1:10" x14ac:dyDescent="0.25">
      <c r="A94" t="s">
        <v>98</v>
      </c>
      <c r="B94" s="16">
        <v>88</v>
      </c>
      <c r="C94" s="16">
        <v>6444.9</v>
      </c>
      <c r="E94" s="12" t="s">
        <v>19</v>
      </c>
      <c r="F94" t="s">
        <v>98</v>
      </c>
      <c r="G94">
        <v>88</v>
      </c>
      <c r="J94" s="12"/>
    </row>
    <row r="95" spans="1:10" x14ac:dyDescent="0.25">
      <c r="A95" t="s">
        <v>49</v>
      </c>
      <c r="B95" s="16">
        <v>25</v>
      </c>
      <c r="C95" s="16">
        <v>1809.3</v>
      </c>
      <c r="E95" s="12" t="s">
        <v>19</v>
      </c>
      <c r="F95" t="s">
        <v>49</v>
      </c>
      <c r="G95">
        <v>25</v>
      </c>
      <c r="J95" s="12"/>
    </row>
    <row r="96" spans="1:10" x14ac:dyDescent="0.25">
      <c r="A96" t="s">
        <v>188</v>
      </c>
      <c r="B96" s="16">
        <v>178</v>
      </c>
      <c r="C96" s="16">
        <v>9680.399999999996</v>
      </c>
      <c r="E96" s="12" t="s">
        <v>19</v>
      </c>
      <c r="F96" t="s">
        <v>188</v>
      </c>
      <c r="G96">
        <v>178</v>
      </c>
      <c r="J96" s="12"/>
    </row>
    <row r="97" spans="1:10" x14ac:dyDescent="0.25">
      <c r="A97" t="s">
        <v>52</v>
      </c>
      <c r="B97" s="16">
        <v>141</v>
      </c>
      <c r="C97" s="16">
        <v>9414.7999999999993</v>
      </c>
      <c r="E97" s="12" t="s">
        <v>19</v>
      </c>
      <c r="F97" t="s">
        <v>52</v>
      </c>
      <c r="G97">
        <v>141</v>
      </c>
      <c r="J97" s="12"/>
    </row>
    <row r="98" spans="1:10" x14ac:dyDescent="0.25">
      <c r="A98" t="s">
        <v>338</v>
      </c>
      <c r="B98" s="16">
        <v>6</v>
      </c>
      <c r="C98" s="16">
        <v>206.1</v>
      </c>
      <c r="E98" s="12" t="s">
        <v>19</v>
      </c>
      <c r="F98" t="s">
        <v>338</v>
      </c>
      <c r="G98">
        <v>6</v>
      </c>
      <c r="J98" s="12"/>
    </row>
    <row r="99" spans="1:10" x14ac:dyDescent="0.25">
      <c r="A99" t="s">
        <v>158</v>
      </c>
      <c r="B99" s="16">
        <v>178</v>
      </c>
      <c r="C99" s="16">
        <v>7691.3</v>
      </c>
      <c r="E99" s="12" t="s">
        <v>19</v>
      </c>
      <c r="F99" t="s">
        <v>158</v>
      </c>
      <c r="G99">
        <v>178</v>
      </c>
      <c r="J99" s="12"/>
    </row>
    <row r="100" spans="1:10" x14ac:dyDescent="0.25">
      <c r="A100" t="s">
        <v>55</v>
      </c>
      <c r="B100" s="16">
        <v>699</v>
      </c>
      <c r="C100" s="16">
        <v>37784.900000000016</v>
      </c>
      <c r="E100" s="12" t="s">
        <v>19</v>
      </c>
      <c r="F100" t="s">
        <v>55</v>
      </c>
      <c r="G100">
        <v>699</v>
      </c>
      <c r="J100" s="12"/>
    </row>
    <row r="101" spans="1:10" x14ac:dyDescent="0.25">
      <c r="A101" t="s">
        <v>342</v>
      </c>
      <c r="B101" s="16">
        <v>23</v>
      </c>
      <c r="C101" s="16">
        <v>1129.7</v>
      </c>
      <c r="E101" s="12" t="s">
        <v>19</v>
      </c>
      <c r="F101" t="s">
        <v>342</v>
      </c>
      <c r="G101">
        <v>23</v>
      </c>
      <c r="J101" s="12"/>
    </row>
    <row r="102" spans="1:10" x14ac:dyDescent="0.25">
      <c r="A102" t="s">
        <v>59</v>
      </c>
      <c r="B102" s="16">
        <v>356</v>
      </c>
      <c r="C102" s="16">
        <v>20988.9</v>
      </c>
      <c r="E102" s="12" t="s">
        <v>19</v>
      </c>
      <c r="F102" t="s">
        <v>59</v>
      </c>
      <c r="G102">
        <v>356</v>
      </c>
      <c r="J102" s="12"/>
    </row>
    <row r="103" spans="1:10" x14ac:dyDescent="0.25">
      <c r="A103" t="s">
        <v>62</v>
      </c>
      <c r="B103" s="16">
        <v>1768</v>
      </c>
      <c r="C103" s="16">
        <v>98367.099999999977</v>
      </c>
      <c r="E103" s="12" t="s">
        <v>19</v>
      </c>
      <c r="F103" t="s">
        <v>62</v>
      </c>
      <c r="G103">
        <v>1768</v>
      </c>
      <c r="J103" s="12"/>
    </row>
    <row r="104" spans="1:10" x14ac:dyDescent="0.25">
      <c r="A104" t="s">
        <v>103</v>
      </c>
      <c r="B104" s="16">
        <v>307</v>
      </c>
      <c r="C104" s="16">
        <v>21911.9</v>
      </c>
      <c r="E104" s="12" t="s">
        <v>19</v>
      </c>
      <c r="F104" t="s">
        <v>103</v>
      </c>
      <c r="G104">
        <v>307</v>
      </c>
      <c r="J104" s="12"/>
    </row>
    <row r="105" spans="1:10" x14ac:dyDescent="0.25">
      <c r="A105" t="s">
        <v>201</v>
      </c>
      <c r="B105" s="16">
        <v>117</v>
      </c>
      <c r="C105" s="16">
        <v>5441.2</v>
      </c>
      <c r="E105" s="12" t="s">
        <v>19</v>
      </c>
      <c r="F105" t="s">
        <v>201</v>
      </c>
      <c r="G105">
        <v>117</v>
      </c>
      <c r="J105" s="12"/>
    </row>
    <row r="106" spans="1:10" x14ac:dyDescent="0.25">
      <c r="A106" t="s">
        <v>429</v>
      </c>
      <c r="B106" s="16">
        <v>13</v>
      </c>
      <c r="C106" s="16">
        <v>392.8</v>
      </c>
      <c r="E106" s="12" t="s">
        <v>19</v>
      </c>
      <c r="F106" t="s">
        <v>429</v>
      </c>
      <c r="G106">
        <v>13</v>
      </c>
      <c r="J106" s="12"/>
    </row>
    <row r="107" spans="1:10" x14ac:dyDescent="0.25">
      <c r="A107" t="s">
        <v>72</v>
      </c>
      <c r="B107" s="16">
        <v>364</v>
      </c>
      <c r="C107" s="16">
        <v>16172.000000000005</v>
      </c>
      <c r="E107" s="12" t="s">
        <v>19</v>
      </c>
      <c r="F107" t="s">
        <v>72</v>
      </c>
      <c r="G107">
        <v>364</v>
      </c>
      <c r="J107" s="12"/>
    </row>
    <row r="108" spans="1:10" x14ac:dyDescent="0.25">
      <c r="A108" t="s">
        <v>74</v>
      </c>
      <c r="B108" s="16">
        <v>95</v>
      </c>
      <c r="C108" s="16">
        <v>4334.9999999999991</v>
      </c>
      <c r="E108" s="12" t="s">
        <v>19</v>
      </c>
      <c r="F108" t="s">
        <v>74</v>
      </c>
      <c r="G108">
        <v>95</v>
      </c>
      <c r="J108" s="12"/>
    </row>
    <row r="109" spans="1:10" x14ac:dyDescent="0.25">
      <c r="A109" t="s">
        <v>77</v>
      </c>
      <c r="B109" s="16">
        <v>737</v>
      </c>
      <c r="C109" s="16">
        <v>37449.000000000007</v>
      </c>
      <c r="E109" s="12" t="s">
        <v>19</v>
      </c>
      <c r="F109" t="s">
        <v>77</v>
      </c>
      <c r="G109">
        <v>737</v>
      </c>
      <c r="J109" s="12"/>
    </row>
    <row r="110" spans="1:10" x14ac:dyDescent="0.25">
      <c r="A110" t="s">
        <v>309</v>
      </c>
      <c r="B110" s="16">
        <v>39</v>
      </c>
      <c r="C110" s="16">
        <v>2447.5</v>
      </c>
      <c r="E110" s="12" t="s">
        <v>19</v>
      </c>
      <c r="F110" t="s">
        <v>309</v>
      </c>
      <c r="G110">
        <v>39</v>
      </c>
      <c r="J110" s="12"/>
    </row>
    <row r="111" spans="1:10" x14ac:dyDescent="0.25">
      <c r="A111" t="s">
        <v>1116</v>
      </c>
      <c r="B111" s="16">
        <v>56</v>
      </c>
      <c r="C111" s="16">
        <v>3391.1</v>
      </c>
      <c r="E111" s="12" t="s">
        <v>19</v>
      </c>
      <c r="F111" t="s">
        <v>1116</v>
      </c>
      <c r="G111">
        <v>56</v>
      </c>
      <c r="J111" s="12"/>
    </row>
    <row r="112" spans="1:10" x14ac:dyDescent="0.25">
      <c r="A112" t="s">
        <v>700</v>
      </c>
      <c r="B112" s="16">
        <v>2</v>
      </c>
      <c r="C112" s="16">
        <v>30.8</v>
      </c>
      <c r="E112" s="12" t="s">
        <v>19</v>
      </c>
      <c r="F112" t="s">
        <v>700</v>
      </c>
      <c r="G112">
        <v>2</v>
      </c>
      <c r="J112" s="12"/>
    </row>
    <row r="113" spans="1:12" x14ac:dyDescent="0.25">
      <c r="A113" t="s">
        <v>268</v>
      </c>
      <c r="B113" s="16">
        <v>8</v>
      </c>
      <c r="C113" s="16">
        <v>332.3</v>
      </c>
      <c r="E113" s="12" t="s">
        <v>19</v>
      </c>
      <c r="F113" t="s">
        <v>268</v>
      </c>
      <c r="G113">
        <v>8</v>
      </c>
      <c r="J113" s="12"/>
    </row>
    <row r="114" spans="1:12" x14ac:dyDescent="0.25">
      <c r="A114" t="s">
        <v>377</v>
      </c>
      <c r="B114" s="16">
        <v>52</v>
      </c>
      <c r="C114" s="16">
        <v>3175.9999999999995</v>
      </c>
      <c r="E114" s="12" t="s">
        <v>19</v>
      </c>
      <c r="F114" t="s">
        <v>377</v>
      </c>
      <c r="G114">
        <v>52</v>
      </c>
      <c r="J114" s="12"/>
    </row>
    <row r="115" spans="1:12" x14ac:dyDescent="0.25">
      <c r="A115" t="s">
        <v>108</v>
      </c>
      <c r="B115" s="16">
        <v>295</v>
      </c>
      <c r="C115" s="16">
        <v>20939.600000000002</v>
      </c>
      <c r="E115" s="12" t="s">
        <v>19</v>
      </c>
      <c r="F115" t="s">
        <v>108</v>
      </c>
      <c r="G115">
        <v>295</v>
      </c>
      <c r="J115" s="12"/>
    </row>
    <row r="116" spans="1:12" x14ac:dyDescent="0.25">
      <c r="A116" t="s">
        <v>110</v>
      </c>
      <c r="B116" s="16">
        <v>195</v>
      </c>
      <c r="C116" s="16">
        <v>10185.899999999996</v>
      </c>
      <c r="E116" s="12" t="s">
        <v>19</v>
      </c>
      <c r="F116" t="s">
        <v>110</v>
      </c>
      <c r="G116">
        <v>195</v>
      </c>
      <c r="J116" s="12"/>
    </row>
    <row r="117" spans="1:12" x14ac:dyDescent="0.25">
      <c r="A117" t="s">
        <v>292</v>
      </c>
      <c r="B117" s="16">
        <v>20</v>
      </c>
      <c r="C117" s="16">
        <v>958.7</v>
      </c>
      <c r="E117" s="12" t="s">
        <v>19</v>
      </c>
      <c r="F117" t="s">
        <v>292</v>
      </c>
      <c r="G117">
        <v>20</v>
      </c>
      <c r="J117" s="12"/>
    </row>
    <row r="118" spans="1:12" x14ac:dyDescent="0.25">
      <c r="A118" t="s">
        <v>79</v>
      </c>
      <c r="B118" s="16">
        <v>6</v>
      </c>
      <c r="C118" s="16">
        <v>323</v>
      </c>
      <c r="E118" s="12" t="s">
        <v>19</v>
      </c>
      <c r="F118" t="s">
        <v>79</v>
      </c>
      <c r="G118">
        <v>6</v>
      </c>
      <c r="J118" s="12"/>
    </row>
    <row r="119" spans="1:12" x14ac:dyDescent="0.25">
      <c r="A119" t="s">
        <v>608</v>
      </c>
      <c r="B119" s="16">
        <v>5</v>
      </c>
      <c r="C119" s="16">
        <v>167.70000000000002</v>
      </c>
      <c r="E119" s="12" t="s">
        <v>19</v>
      </c>
      <c r="F119" t="s">
        <v>608</v>
      </c>
      <c r="G119">
        <v>5</v>
      </c>
      <c r="J119" s="12"/>
    </row>
    <row r="120" spans="1:12" x14ac:dyDescent="0.25">
      <c r="A120" t="s">
        <v>113</v>
      </c>
      <c r="B120" s="16">
        <v>94</v>
      </c>
      <c r="C120" s="16">
        <v>3978.5</v>
      </c>
      <c r="E120" s="12" t="s">
        <v>19</v>
      </c>
      <c r="F120" t="s">
        <v>113</v>
      </c>
      <c r="G120">
        <v>94</v>
      </c>
      <c r="J120" s="12"/>
    </row>
    <row r="121" spans="1:12" x14ac:dyDescent="0.25">
      <c r="A121" t="s">
        <v>997</v>
      </c>
      <c r="B121" s="16">
        <v>28</v>
      </c>
      <c r="C121" s="16">
        <v>1405</v>
      </c>
      <c r="E121" s="12" t="s">
        <v>19</v>
      </c>
      <c r="F121" t="s">
        <v>997</v>
      </c>
      <c r="G121">
        <v>28</v>
      </c>
      <c r="J121" s="12"/>
    </row>
    <row r="122" spans="1:12" x14ac:dyDescent="0.25">
      <c r="A122" t="s">
        <v>82</v>
      </c>
      <c r="B122" s="16">
        <v>179</v>
      </c>
      <c r="C122" s="16">
        <v>9869.0999999999985</v>
      </c>
      <c r="E122" s="12" t="s">
        <v>19</v>
      </c>
      <c r="F122" t="s">
        <v>82</v>
      </c>
      <c r="G122">
        <v>179</v>
      </c>
      <c r="J122" s="12"/>
    </row>
    <row r="123" spans="1:12" x14ac:dyDescent="0.25">
      <c r="A123" t="s">
        <v>243</v>
      </c>
      <c r="B123" s="16">
        <v>15</v>
      </c>
      <c r="C123" s="16">
        <v>615.29999999999995</v>
      </c>
      <c r="E123" s="12" t="s">
        <v>19</v>
      </c>
      <c r="F123" t="s">
        <v>243</v>
      </c>
      <c r="G123">
        <v>15</v>
      </c>
      <c r="J123" s="12"/>
    </row>
    <row r="124" spans="1:12" x14ac:dyDescent="0.25">
      <c r="A124" t="s">
        <v>1911</v>
      </c>
      <c r="B124" s="16">
        <v>3</v>
      </c>
      <c r="C124" s="16">
        <v>285</v>
      </c>
      <c r="E124" s="13" t="s">
        <v>19</v>
      </c>
      <c r="F124" t="s">
        <v>1911</v>
      </c>
      <c r="G124">
        <v>3</v>
      </c>
      <c r="J124" s="13"/>
    </row>
    <row r="125" spans="1:12" x14ac:dyDescent="0.25">
      <c r="A125" t="s">
        <v>2529</v>
      </c>
      <c r="B125" s="16">
        <v>11997</v>
      </c>
      <c r="C125" s="16">
        <v>649019.79999999981</v>
      </c>
      <c r="E125" s="10" t="s">
        <v>2529</v>
      </c>
      <c r="F125" s="10"/>
      <c r="G125" s="10">
        <v>11997</v>
      </c>
      <c r="J125" s="10"/>
      <c r="K125" s="10"/>
      <c r="L125"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2030-8C02-4826-B3E7-667A8FB45623}">
  <dimension ref="A3:L35"/>
  <sheetViews>
    <sheetView workbookViewId="0">
      <selection activeCell="M12" sqref="M12"/>
    </sheetView>
  </sheetViews>
  <sheetFormatPr defaultRowHeight="15" x14ac:dyDescent="0.25"/>
  <cols>
    <col min="1" max="1" width="14" bestFit="1" customWidth="1"/>
    <col min="2" max="2" width="16.85546875" bestFit="1" customWidth="1"/>
    <col min="3" max="4" width="4" bestFit="1" customWidth="1"/>
    <col min="5" max="5" width="5" bestFit="1" customWidth="1"/>
    <col min="6" max="6" width="4" bestFit="1" customWidth="1"/>
    <col min="7" max="7" width="11.28515625" bestFit="1" customWidth="1"/>
    <col min="8" max="8" width="13.42578125" bestFit="1" customWidth="1"/>
    <col min="9" max="9" width="15.5703125" bestFit="1" customWidth="1"/>
    <col min="10" max="10" width="5.28515625" bestFit="1" customWidth="1"/>
    <col min="11" max="11" width="14.42578125" bestFit="1" customWidth="1"/>
    <col min="12" max="12" width="14" bestFit="1" customWidth="1"/>
    <col min="13" max="13" width="11.28515625" bestFit="1" customWidth="1"/>
  </cols>
  <sheetData>
    <row r="3" spans="1:12" x14ac:dyDescent="0.25">
      <c r="A3" s="5" t="s">
        <v>2519</v>
      </c>
      <c r="B3" s="5" t="s">
        <v>2530</v>
      </c>
      <c r="H3" s="5" t="s">
        <v>2528</v>
      </c>
      <c r="I3" t="s">
        <v>2519</v>
      </c>
      <c r="K3" t="s">
        <v>2535</v>
      </c>
    </row>
    <row r="4" spans="1:12" x14ac:dyDescent="0.25">
      <c r="A4" s="5" t="s">
        <v>2528</v>
      </c>
      <c r="B4" t="s">
        <v>2531</v>
      </c>
      <c r="C4" t="s">
        <v>2532</v>
      </c>
      <c r="D4" t="s">
        <v>2533</v>
      </c>
      <c r="E4" t="s">
        <v>2534</v>
      </c>
      <c r="F4" t="s">
        <v>2529</v>
      </c>
      <c r="H4" s="6" t="s">
        <v>2531</v>
      </c>
      <c r="I4" s="9">
        <v>0.52279736600816873</v>
      </c>
      <c r="K4" s="5" t="s">
        <v>2528</v>
      </c>
      <c r="L4" t="s">
        <v>2518</v>
      </c>
    </row>
    <row r="5" spans="1:12" x14ac:dyDescent="0.25">
      <c r="A5" s="6" t="s">
        <v>44</v>
      </c>
      <c r="B5" s="16">
        <v>744</v>
      </c>
      <c r="C5" s="16">
        <v>713</v>
      </c>
      <c r="D5" s="16">
        <v>90</v>
      </c>
      <c r="E5" s="16">
        <v>98</v>
      </c>
      <c r="F5" s="16">
        <v>1645</v>
      </c>
      <c r="H5" s="6" t="s">
        <v>2532</v>
      </c>
      <c r="I5" s="9">
        <v>0.38943069100608485</v>
      </c>
      <c r="K5" s="6">
        <v>1</v>
      </c>
      <c r="L5" s="16">
        <v>397</v>
      </c>
    </row>
    <row r="6" spans="1:12" x14ac:dyDescent="0.25">
      <c r="A6" s="6" t="s">
        <v>39</v>
      </c>
      <c r="B6" s="16">
        <v>716</v>
      </c>
      <c r="C6" s="16">
        <v>598</v>
      </c>
      <c r="D6" s="16">
        <v>18</v>
      </c>
      <c r="E6" s="16">
        <v>214</v>
      </c>
      <c r="F6" s="16">
        <v>1546</v>
      </c>
      <c r="H6" s="6" t="s">
        <v>2533</v>
      </c>
      <c r="I6" s="9">
        <v>2.6423272484787864E-2</v>
      </c>
      <c r="K6" s="6">
        <v>2</v>
      </c>
      <c r="L6" s="16">
        <v>540</v>
      </c>
    </row>
    <row r="7" spans="1:12" x14ac:dyDescent="0.25">
      <c r="A7" s="6" t="s">
        <v>26</v>
      </c>
      <c r="B7" s="16">
        <v>627</v>
      </c>
      <c r="C7" s="16">
        <v>393</v>
      </c>
      <c r="D7" s="16">
        <v>29</v>
      </c>
      <c r="E7" s="16">
        <v>137</v>
      </c>
      <c r="F7" s="16">
        <v>1186</v>
      </c>
      <c r="H7" s="6" t="s">
        <v>2534</v>
      </c>
      <c r="I7" s="9">
        <v>6.1348670500958574E-2</v>
      </c>
      <c r="K7" s="6">
        <v>3</v>
      </c>
      <c r="L7" s="16">
        <v>375</v>
      </c>
    </row>
    <row r="8" spans="1:12" x14ac:dyDescent="0.25">
      <c r="A8" s="6" t="s">
        <v>22</v>
      </c>
      <c r="B8" s="16">
        <v>568</v>
      </c>
      <c r="C8" s="16">
        <v>306</v>
      </c>
      <c r="D8" s="16">
        <v>22</v>
      </c>
      <c r="E8" s="16">
        <v>16</v>
      </c>
      <c r="F8" s="16">
        <v>912</v>
      </c>
      <c r="H8" s="6" t="s">
        <v>2529</v>
      </c>
      <c r="I8" s="8">
        <v>1</v>
      </c>
      <c r="K8" s="6">
        <v>4</v>
      </c>
      <c r="L8" s="16">
        <v>246</v>
      </c>
    </row>
    <row r="9" spans="1:12" x14ac:dyDescent="0.25">
      <c r="A9" s="6" t="s">
        <v>54</v>
      </c>
      <c r="B9" s="16">
        <v>482</v>
      </c>
      <c r="C9" s="16">
        <v>295</v>
      </c>
      <c r="D9" s="16">
        <v>8</v>
      </c>
      <c r="E9" s="16">
        <v>22</v>
      </c>
      <c r="F9" s="16">
        <v>807</v>
      </c>
      <c r="K9" s="6">
        <v>5</v>
      </c>
      <c r="L9" s="16">
        <v>195</v>
      </c>
    </row>
    <row r="10" spans="1:12" x14ac:dyDescent="0.25">
      <c r="A10" s="6" t="s">
        <v>16</v>
      </c>
      <c r="B10" s="16">
        <v>428</v>
      </c>
      <c r="C10" s="16">
        <v>293</v>
      </c>
      <c r="D10" s="16"/>
      <c r="E10" s="16">
        <v>24</v>
      </c>
      <c r="F10" s="16">
        <v>745</v>
      </c>
      <c r="H10" t="s">
        <v>2538</v>
      </c>
      <c r="K10" s="6" t="s">
        <v>2536</v>
      </c>
      <c r="L10" s="16">
        <v>414</v>
      </c>
    </row>
    <row r="11" spans="1:12" x14ac:dyDescent="0.25">
      <c r="A11" s="6" t="s">
        <v>46</v>
      </c>
      <c r="B11" s="16">
        <v>445</v>
      </c>
      <c r="C11" s="16">
        <v>202</v>
      </c>
      <c r="D11" s="16">
        <v>14</v>
      </c>
      <c r="E11" s="16">
        <v>39</v>
      </c>
      <c r="F11" s="16">
        <v>700</v>
      </c>
      <c r="H11" s="5" t="s">
        <v>2528</v>
      </c>
      <c r="I11" t="s">
        <v>2518</v>
      </c>
      <c r="K11" s="6" t="s">
        <v>2537</v>
      </c>
      <c r="L11" s="16">
        <v>233</v>
      </c>
    </row>
    <row r="12" spans="1:12" x14ac:dyDescent="0.25">
      <c r="A12" s="6" t="s">
        <v>32</v>
      </c>
      <c r="B12" s="16">
        <v>431</v>
      </c>
      <c r="C12" s="16">
        <v>187</v>
      </c>
      <c r="D12" s="16">
        <v>14</v>
      </c>
      <c r="E12" s="16">
        <v>15</v>
      </c>
      <c r="F12" s="16">
        <v>647</v>
      </c>
      <c r="H12" s="6">
        <v>0</v>
      </c>
      <c r="I12" s="16">
        <v>175</v>
      </c>
      <c r="K12" s="6" t="s">
        <v>2529</v>
      </c>
      <c r="L12" s="16">
        <v>2400</v>
      </c>
    </row>
    <row r="13" spans="1:12" x14ac:dyDescent="0.25">
      <c r="A13" s="6" t="s">
        <v>42</v>
      </c>
      <c r="B13" s="16">
        <v>264</v>
      </c>
      <c r="C13" s="16">
        <v>318</v>
      </c>
      <c r="D13" s="16">
        <v>15</v>
      </c>
      <c r="E13" s="16">
        <v>9</v>
      </c>
      <c r="F13" s="16">
        <v>606</v>
      </c>
      <c r="H13" s="6">
        <v>1</v>
      </c>
      <c r="I13" s="16">
        <v>888</v>
      </c>
    </row>
    <row r="14" spans="1:12" x14ac:dyDescent="0.25">
      <c r="A14" s="6" t="s">
        <v>37</v>
      </c>
      <c r="B14" s="16">
        <v>296</v>
      </c>
      <c r="C14" s="16">
        <v>275</v>
      </c>
      <c r="D14" s="16">
        <v>9</v>
      </c>
      <c r="E14" s="16">
        <v>23</v>
      </c>
      <c r="F14" s="16">
        <v>603</v>
      </c>
      <c r="H14" s="6">
        <v>2</v>
      </c>
      <c r="I14" s="16">
        <v>538</v>
      </c>
    </row>
    <row r="15" spans="1:12" x14ac:dyDescent="0.25">
      <c r="A15" s="6" t="s">
        <v>123</v>
      </c>
      <c r="B15" s="16">
        <v>153</v>
      </c>
      <c r="C15" s="16">
        <v>246</v>
      </c>
      <c r="D15" s="16">
        <v>30</v>
      </c>
      <c r="E15" s="16">
        <v>8</v>
      </c>
      <c r="F15" s="16">
        <v>437</v>
      </c>
      <c r="H15" s="6">
        <v>3</v>
      </c>
      <c r="I15" s="16">
        <v>344</v>
      </c>
    </row>
    <row r="16" spans="1:12" x14ac:dyDescent="0.25">
      <c r="A16" s="6" t="s">
        <v>146</v>
      </c>
      <c r="B16" s="16">
        <v>189</v>
      </c>
      <c r="C16" s="16">
        <v>168</v>
      </c>
      <c r="D16" s="16">
        <v>10</v>
      </c>
      <c r="E16" s="16">
        <v>31</v>
      </c>
      <c r="F16" s="16">
        <v>398</v>
      </c>
      <c r="H16" s="6">
        <v>4</v>
      </c>
      <c r="I16" s="16">
        <v>200</v>
      </c>
    </row>
    <row r="17" spans="1:9" x14ac:dyDescent="0.25">
      <c r="A17" s="6" t="s">
        <v>69</v>
      </c>
      <c r="B17" s="16">
        <v>234</v>
      </c>
      <c r="C17" s="16">
        <v>93</v>
      </c>
      <c r="D17" s="16">
        <v>19</v>
      </c>
      <c r="E17" s="16">
        <v>24</v>
      </c>
      <c r="F17" s="16">
        <v>370</v>
      </c>
      <c r="H17" s="6">
        <v>5</v>
      </c>
      <c r="I17" s="16">
        <v>94</v>
      </c>
    </row>
    <row r="18" spans="1:9" x14ac:dyDescent="0.25">
      <c r="A18" s="6" t="s">
        <v>30</v>
      </c>
      <c r="B18" s="16">
        <v>146</v>
      </c>
      <c r="C18" s="16">
        <v>94</v>
      </c>
      <c r="D18" s="16">
        <v>4</v>
      </c>
      <c r="E18" s="16">
        <v>28</v>
      </c>
      <c r="F18" s="16">
        <v>272</v>
      </c>
      <c r="H18" s="6">
        <v>6</v>
      </c>
      <c r="I18" s="16">
        <v>51</v>
      </c>
    </row>
    <row r="19" spans="1:9" x14ac:dyDescent="0.25">
      <c r="A19" s="6" t="s">
        <v>135</v>
      </c>
      <c r="B19" s="16">
        <v>127</v>
      </c>
      <c r="C19" s="16">
        <v>118</v>
      </c>
      <c r="D19" s="16">
        <v>13</v>
      </c>
      <c r="E19" s="16">
        <v>12</v>
      </c>
      <c r="F19" s="16">
        <v>270</v>
      </c>
      <c r="H19" s="6">
        <v>7</v>
      </c>
      <c r="I19" s="16">
        <v>32</v>
      </c>
    </row>
    <row r="20" spans="1:9" x14ac:dyDescent="0.25">
      <c r="A20" s="6" t="s">
        <v>67</v>
      </c>
      <c r="B20" s="16">
        <v>179</v>
      </c>
      <c r="C20" s="16">
        <v>76</v>
      </c>
      <c r="D20" s="16">
        <v>3</v>
      </c>
      <c r="E20" s="16"/>
      <c r="F20" s="16">
        <v>258</v>
      </c>
      <c r="H20" s="6">
        <v>8</v>
      </c>
      <c r="I20" s="16">
        <v>23</v>
      </c>
    </row>
    <row r="21" spans="1:9" x14ac:dyDescent="0.25">
      <c r="A21" s="6" t="s">
        <v>128</v>
      </c>
      <c r="B21" s="16">
        <v>99</v>
      </c>
      <c r="C21" s="16">
        <v>69</v>
      </c>
      <c r="D21" s="16">
        <v>3</v>
      </c>
      <c r="E21" s="16">
        <v>24</v>
      </c>
      <c r="F21" s="16">
        <v>195</v>
      </c>
      <c r="H21" s="6">
        <v>9</v>
      </c>
      <c r="I21" s="16">
        <v>9</v>
      </c>
    </row>
    <row r="22" spans="1:9" x14ac:dyDescent="0.25">
      <c r="A22" s="6" t="s">
        <v>76</v>
      </c>
      <c r="B22" s="16">
        <v>75</v>
      </c>
      <c r="C22" s="16">
        <v>103</v>
      </c>
      <c r="D22" s="16">
        <v>4</v>
      </c>
      <c r="E22" s="16">
        <v>6</v>
      </c>
      <c r="F22" s="16">
        <v>188</v>
      </c>
      <c r="H22" s="6">
        <v>10</v>
      </c>
      <c r="I22" s="16">
        <v>8</v>
      </c>
    </row>
    <row r="23" spans="1:9" x14ac:dyDescent="0.25">
      <c r="A23" s="6" t="s">
        <v>81</v>
      </c>
      <c r="B23" s="16">
        <v>43</v>
      </c>
      <c r="C23" s="16">
        <v>90</v>
      </c>
      <c r="D23" s="16">
        <v>8</v>
      </c>
      <c r="E23" s="16">
        <v>6</v>
      </c>
      <c r="F23" s="16">
        <v>147</v>
      </c>
      <c r="H23" s="6">
        <v>11</v>
      </c>
      <c r="I23" s="16">
        <v>11</v>
      </c>
    </row>
    <row r="24" spans="1:9" x14ac:dyDescent="0.25">
      <c r="A24" s="6" t="s">
        <v>171</v>
      </c>
      <c r="B24" s="16">
        <v>26</v>
      </c>
      <c r="C24" s="16">
        <v>35</v>
      </c>
      <c r="D24" s="16">
        <v>4</v>
      </c>
      <c r="E24" s="16"/>
      <c r="F24" s="16">
        <v>65</v>
      </c>
      <c r="H24" s="6">
        <v>12</v>
      </c>
      <c r="I24" s="16">
        <v>4</v>
      </c>
    </row>
    <row r="25" spans="1:9" x14ac:dyDescent="0.25">
      <c r="A25" s="6" t="s">
        <v>2529</v>
      </c>
      <c r="B25" s="16">
        <v>6272</v>
      </c>
      <c r="C25" s="16">
        <v>4672</v>
      </c>
      <c r="D25" s="16">
        <v>317</v>
      </c>
      <c r="E25" s="16">
        <v>736</v>
      </c>
      <c r="F25" s="16">
        <v>11997</v>
      </c>
      <c r="H25" s="6">
        <v>13</v>
      </c>
      <c r="I25" s="16">
        <v>10</v>
      </c>
    </row>
    <row r="26" spans="1:9" x14ac:dyDescent="0.25">
      <c r="H26" s="6">
        <v>14</v>
      </c>
      <c r="I26" s="16">
        <v>13</v>
      </c>
    </row>
    <row r="27" spans="1:9" x14ac:dyDescent="0.25">
      <c r="H27" s="6" t="s">
        <v>2529</v>
      </c>
      <c r="I27" s="16">
        <v>2400</v>
      </c>
    </row>
    <row r="29" spans="1:9" x14ac:dyDescent="0.25">
      <c r="A29" t="s">
        <v>2542</v>
      </c>
    </row>
    <row r="30" spans="1:9" x14ac:dyDescent="0.25">
      <c r="A30" s="5" t="s">
        <v>2518</v>
      </c>
      <c r="B30" s="5" t="s">
        <v>2530</v>
      </c>
    </row>
    <row r="31" spans="1:9" x14ac:dyDescent="0.25">
      <c r="A31" s="5" t="s">
        <v>2528</v>
      </c>
      <c r="B31">
        <v>1</v>
      </c>
      <c r="C31">
        <v>2</v>
      </c>
      <c r="D31">
        <v>3</v>
      </c>
      <c r="E31">
        <v>4</v>
      </c>
      <c r="F31">
        <v>5</v>
      </c>
      <c r="G31" t="s">
        <v>2529</v>
      </c>
    </row>
    <row r="32" spans="1:9" x14ac:dyDescent="0.25">
      <c r="A32" s="6" t="s">
        <v>2539</v>
      </c>
      <c r="B32" s="16">
        <v>7</v>
      </c>
      <c r="C32" s="16">
        <v>37</v>
      </c>
      <c r="D32" s="16">
        <v>150</v>
      </c>
      <c r="E32" s="16">
        <v>312</v>
      </c>
      <c r="F32" s="16">
        <v>224</v>
      </c>
      <c r="G32" s="16">
        <v>730</v>
      </c>
    </row>
    <row r="33" spans="1:7" x14ac:dyDescent="0.25">
      <c r="A33" s="6" t="s">
        <v>2540</v>
      </c>
      <c r="B33" s="16">
        <v>8</v>
      </c>
      <c r="C33" s="16">
        <v>51</v>
      </c>
      <c r="D33" s="16">
        <v>182</v>
      </c>
      <c r="E33" s="16">
        <v>373</v>
      </c>
      <c r="F33" s="16">
        <v>247</v>
      </c>
      <c r="G33" s="16">
        <v>861</v>
      </c>
    </row>
    <row r="34" spans="1:7" x14ac:dyDescent="0.25">
      <c r="A34" s="6" t="s">
        <v>2541</v>
      </c>
      <c r="B34" s="16">
        <v>6</v>
      </c>
      <c r="C34" s="16">
        <v>39</v>
      </c>
      <c r="D34" s="16">
        <v>163</v>
      </c>
      <c r="E34" s="16">
        <v>351</v>
      </c>
      <c r="F34" s="16">
        <v>250</v>
      </c>
      <c r="G34" s="16">
        <v>809</v>
      </c>
    </row>
    <row r="35" spans="1:7" x14ac:dyDescent="0.25">
      <c r="A35" s="6" t="s">
        <v>2529</v>
      </c>
      <c r="B35" s="16">
        <v>21</v>
      </c>
      <c r="C35" s="16">
        <v>127</v>
      </c>
      <c r="D35" s="16">
        <v>495</v>
      </c>
      <c r="E35" s="16">
        <v>1036</v>
      </c>
      <c r="F35" s="16">
        <v>721</v>
      </c>
      <c r="G35" s="16">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41FF-4905-4382-8895-D58E8D817168}">
  <dimension ref="A3:L10"/>
  <sheetViews>
    <sheetView showGridLines="0" workbookViewId="0">
      <selection activeCell="H4" sqref="H4:L9"/>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11.28515625" bestFit="1" customWidth="1"/>
    <col min="8" max="8" width="12.28515625" customWidth="1"/>
  </cols>
  <sheetData>
    <row r="3" spans="1:12" x14ac:dyDescent="0.25">
      <c r="A3" s="5" t="s">
        <v>2520</v>
      </c>
      <c r="B3" s="5" t="s">
        <v>2530</v>
      </c>
    </row>
    <row r="4" spans="1:12" x14ac:dyDescent="0.25">
      <c r="A4" s="5" t="s">
        <v>2528</v>
      </c>
      <c r="B4" t="s">
        <v>2531</v>
      </c>
      <c r="C4" t="s">
        <v>2532</v>
      </c>
      <c r="D4" t="s">
        <v>2533</v>
      </c>
      <c r="E4" t="s">
        <v>2534</v>
      </c>
      <c r="F4" t="s">
        <v>2529</v>
      </c>
      <c r="I4" t="str">
        <f>B4</f>
        <v>Female</v>
      </c>
      <c r="J4" t="str">
        <f t="shared" ref="J4:L4" si="0">C4</f>
        <v>Male</v>
      </c>
      <c r="K4" t="str">
        <f t="shared" si="0"/>
        <v>Other</v>
      </c>
      <c r="L4" t="str">
        <f t="shared" si="0"/>
        <v>Unknown</v>
      </c>
    </row>
    <row r="5" spans="1:12" ht="18.75" customHeight="1" x14ac:dyDescent="0.25">
      <c r="A5" s="6" t="s">
        <v>18</v>
      </c>
      <c r="B5" s="8">
        <v>0.18961825201634841</v>
      </c>
      <c r="C5" s="8">
        <v>0.12262322351336576</v>
      </c>
      <c r="D5" s="8">
        <v>1.060537752469185E-2</v>
      </c>
      <c r="E5" s="8">
        <v>3.0599220547662797E-2</v>
      </c>
      <c r="F5" s="8">
        <v>0.35344607360206881</v>
      </c>
      <c r="H5" t="str">
        <f>A5</f>
        <v>App</v>
      </c>
      <c r="I5" s="15">
        <f t="shared" ref="I5:L9" si="1">B5</f>
        <v>0.18961825201634841</v>
      </c>
      <c r="J5" s="15">
        <f t="shared" si="1"/>
        <v>0.12262322351336576</v>
      </c>
      <c r="K5" s="15">
        <f t="shared" si="1"/>
        <v>1.060537752469185E-2</v>
      </c>
      <c r="L5" s="15">
        <f t="shared" si="1"/>
        <v>3.0599220547662797E-2</v>
      </c>
    </row>
    <row r="6" spans="1:12" ht="18.75" customHeight="1" x14ac:dyDescent="0.25">
      <c r="A6" s="6" t="s">
        <v>51</v>
      </c>
      <c r="B6" s="8">
        <v>5.0283982091147303E-2</v>
      </c>
      <c r="C6" s="8">
        <v>4.3060781812819873E-2</v>
      </c>
      <c r="D6" s="8">
        <v>1.5320025675641944E-3</v>
      </c>
      <c r="E6" s="8">
        <v>1.7794988689097006E-2</v>
      </c>
      <c r="F6" s="8">
        <v>0.11267175516062837</v>
      </c>
      <c r="H6" t="str">
        <f t="shared" ref="H6:H9" si="2">A6</f>
        <v>Instagram</v>
      </c>
      <c r="I6" s="15">
        <f t="shared" si="1"/>
        <v>5.0283982091147303E-2</v>
      </c>
      <c r="J6" s="15">
        <f t="shared" si="1"/>
        <v>4.3060781812819873E-2</v>
      </c>
      <c r="K6" s="15">
        <f t="shared" si="1"/>
        <v>1.5320025675641944E-3</v>
      </c>
      <c r="L6" s="15">
        <f t="shared" si="1"/>
        <v>1.7794988689097006E-2</v>
      </c>
    </row>
    <row r="7" spans="1:12" ht="18.75" customHeight="1" x14ac:dyDescent="0.25">
      <c r="A7" s="6" t="s">
        <v>70</v>
      </c>
      <c r="B7" s="8">
        <v>6.3496059750411282E-2</v>
      </c>
      <c r="C7" s="8">
        <v>4.6071629863988765E-2</v>
      </c>
      <c r="D7" s="8">
        <v>2.306247051322625E-3</v>
      </c>
      <c r="E7" s="8">
        <v>3.8927934093844286E-3</v>
      </c>
      <c r="F7" s="8">
        <v>0.11576673007510711</v>
      </c>
      <c r="H7" t="str">
        <f t="shared" si="2"/>
        <v>Partner App</v>
      </c>
      <c r="I7" s="15">
        <f t="shared" si="1"/>
        <v>6.3496059750411282E-2</v>
      </c>
      <c r="J7" s="15">
        <f t="shared" si="1"/>
        <v>4.6071629863988765E-2</v>
      </c>
      <c r="K7" s="15">
        <f t="shared" si="1"/>
        <v>2.306247051322625E-3</v>
      </c>
      <c r="L7" s="15">
        <f t="shared" si="1"/>
        <v>3.8927934093844286E-3</v>
      </c>
    </row>
    <row r="8" spans="1:12" ht="18.75" customHeight="1" x14ac:dyDescent="0.25">
      <c r="A8" s="6" t="s">
        <v>40</v>
      </c>
      <c r="B8" s="8">
        <v>9.6337892927149532E-2</v>
      </c>
      <c r="C8" s="8">
        <v>6.7920115842382611E-2</v>
      </c>
      <c r="D8" s="8">
        <v>5.4979832664581261E-3</v>
      </c>
      <c r="E8" s="8">
        <v>1.2933041488102518E-2</v>
      </c>
      <c r="F8" s="8">
        <v>0.1826890335240928</v>
      </c>
      <c r="H8" t="str">
        <f t="shared" si="2"/>
        <v>Target.com</v>
      </c>
      <c r="I8" s="15">
        <f t="shared" si="1"/>
        <v>9.6337892927149532E-2</v>
      </c>
      <c r="J8" s="15">
        <f t="shared" si="1"/>
        <v>6.7920115842382611E-2</v>
      </c>
      <c r="K8" s="15">
        <f t="shared" si="1"/>
        <v>5.4979832664581261E-3</v>
      </c>
      <c r="L8" s="15">
        <f t="shared" si="1"/>
        <v>1.2933041488102518E-2</v>
      </c>
    </row>
    <row r="9" spans="1:12" ht="18.75" customHeight="1" x14ac:dyDescent="0.25">
      <c r="A9" s="6" t="s">
        <v>35</v>
      </c>
      <c r="B9" s="8">
        <v>0.12522098709469262</v>
      </c>
      <c r="C9" s="8">
        <v>9.1492740283116228E-2</v>
      </c>
      <c r="D9" s="8">
        <v>6.3042760790965081E-3</v>
      </c>
      <c r="E9" s="8">
        <v>1.2408404181197551E-2</v>
      </c>
      <c r="F9" s="8">
        <v>0.23542640763810288</v>
      </c>
      <c r="H9" t="str">
        <f t="shared" si="2"/>
        <v>Website</v>
      </c>
      <c r="I9" s="15">
        <f t="shared" si="1"/>
        <v>0.12522098709469262</v>
      </c>
      <c r="J9" s="15">
        <f t="shared" si="1"/>
        <v>9.1492740283116228E-2</v>
      </c>
      <c r="K9" s="15">
        <f t="shared" si="1"/>
        <v>6.3042760790965081E-3</v>
      </c>
      <c r="L9" s="15">
        <f t="shared" si="1"/>
        <v>1.2408404181197551E-2</v>
      </c>
    </row>
    <row r="10" spans="1:12" x14ac:dyDescent="0.25">
      <c r="A10" s="6" t="s">
        <v>2529</v>
      </c>
      <c r="B10" s="8">
        <v>0.52495717387974916</v>
      </c>
      <c r="C10" s="8">
        <v>0.3711684913156732</v>
      </c>
      <c r="D10" s="8">
        <v>2.6245886489133303E-2</v>
      </c>
      <c r="E10" s="8">
        <v>7.7628448315444312E-2</v>
      </c>
      <c r="F10" s="8">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G9" sqref="G9"/>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Cal</vt:lpstr>
      <vt:lpstr>map</vt:lpstr>
      <vt:lpstr>Column</vt:lpstr>
      <vt:lpstr>Sheet4</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Preethi G</cp:lastModifiedBy>
  <cp:lastPrinted>2026-03-28T06:20:45Z</cp:lastPrinted>
  <dcterms:created xsi:type="dcterms:W3CDTF">2025-06-13T02:42:26Z</dcterms:created>
  <dcterms:modified xsi:type="dcterms:W3CDTF">2026-04-18T14:18:35Z</dcterms:modified>
</cp:coreProperties>
</file>